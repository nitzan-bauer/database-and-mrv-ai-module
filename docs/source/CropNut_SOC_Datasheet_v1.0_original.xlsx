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c62529b8de10a3d/Desktop/carbonature/cropnut/"/>
    </mc:Choice>
  </mc:AlternateContent>
  <xr:revisionPtr revIDLastSave="345" documentId="13_ncr:1_{D8C8159D-CAFF-457F-87DC-40A7C1905C05}" xr6:coauthVersionLast="47" xr6:coauthVersionMax="47" xr10:uidLastSave="{09DBFAEE-1B7A-453A-B7CC-B7E08504938E}"/>
  <bookViews>
    <workbookView xWindow="-28920" yWindow="4770" windowWidth="29040" windowHeight="15720" xr2:uid="{00000000-000D-0000-FFFF-FFFF00000000}"/>
  </bookViews>
  <sheets>
    <sheet name="soil sampling results" sheetId="15" r:id="rId1"/>
    <sheet name="New Dashboard" sheetId="19" r:id="rId2"/>
  </sheets>
  <definedNames>
    <definedName name="Slicer_Installation">#REF!</definedName>
    <definedName name="Slicer_Sampling_round">#REF!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5" l="1"/>
  <c r="U7" i="15"/>
  <c r="U8" i="15"/>
  <c r="U9" i="15"/>
  <c r="U10" i="15"/>
  <c r="U11" i="15"/>
  <c r="U12" i="15"/>
  <c r="U13" i="15"/>
  <c r="U14" i="15"/>
  <c r="U15" i="15"/>
  <c r="U16" i="15"/>
  <c r="U17" i="15"/>
  <c r="U18" i="15"/>
  <c r="U5" i="15"/>
</calcChain>
</file>

<file path=xl/sharedStrings.xml><?xml version="1.0" encoding="utf-8"?>
<sst xmlns="http://schemas.openxmlformats.org/spreadsheetml/2006/main" count="197" uniqueCount="85">
  <si>
    <t>TOC 400 [%]</t>
  </si>
  <si>
    <t>ROC 600 [%]</t>
  </si>
  <si>
    <t>TOC  [%]</t>
  </si>
  <si>
    <t>TIC 900 [%]</t>
  </si>
  <si>
    <t>TC  [%]</t>
  </si>
  <si>
    <t>N  [%]</t>
  </si>
  <si>
    <t>C/N  ratio</t>
  </si>
  <si>
    <t>Installation</t>
  </si>
  <si>
    <t>Izrael</t>
  </si>
  <si>
    <t>Bsl</t>
  </si>
  <si>
    <t>WP</t>
  </si>
  <si>
    <t>Maoz Haim</t>
  </si>
  <si>
    <t>Grand Total</t>
  </si>
  <si>
    <t>Row Labels</t>
  </si>
  <si>
    <t>no</t>
  </si>
  <si>
    <t>Yes</t>
  </si>
  <si>
    <t>Sample ID</t>
  </si>
  <si>
    <t>Project</t>
  </si>
  <si>
    <t>Date</t>
  </si>
  <si>
    <t>Stratum</t>
  </si>
  <si>
    <t>Depth</t>
  </si>
  <si>
    <t>BSL/PR</t>
  </si>
  <si>
    <t>BD [gr/cm^3]</t>
  </si>
  <si>
    <t>SOC [t/ha]</t>
  </si>
  <si>
    <t>1</t>
  </si>
  <si>
    <t>2</t>
  </si>
  <si>
    <t>4</t>
  </si>
  <si>
    <t>3</t>
  </si>
  <si>
    <t>Avtah</t>
  </si>
  <si>
    <t>7</t>
  </si>
  <si>
    <t>Count of Sample ID</t>
  </si>
  <si>
    <t>Afek</t>
  </si>
  <si>
    <t>Kvutzat Yavne</t>
  </si>
  <si>
    <t>Count of Sent ot Volcani</t>
  </si>
  <si>
    <t>Sampled points</t>
  </si>
  <si>
    <t>Total points</t>
  </si>
  <si>
    <t>Sampling Dashboard</t>
  </si>
  <si>
    <t>Average of SOC [t/ha]</t>
  </si>
  <si>
    <t>(blank)</t>
  </si>
  <si>
    <t>Tzbar Kama</t>
  </si>
  <si>
    <t>Sampled Points</t>
  </si>
  <si>
    <t>Total  Points</t>
  </si>
  <si>
    <t>PR</t>
  </si>
  <si>
    <t>Quantity</t>
  </si>
  <si>
    <t>Total sampling points - campaign</t>
  </si>
  <si>
    <t>Project :  SOC - 15cm depth</t>
  </si>
  <si>
    <t>Baseline :  SOC - 15cm depth</t>
  </si>
  <si>
    <t>Project :  SOC - 30cm depth</t>
  </si>
  <si>
    <t>Bseline :  SOC - 30cm depth</t>
  </si>
  <si>
    <t>Project :  BD - 30cm depth</t>
  </si>
  <si>
    <t>Bseline :  BD - 30cm depth</t>
  </si>
  <si>
    <t>Project :  BD - 15cm depth</t>
  </si>
  <si>
    <t>Baseline :  BD - 15cm depth</t>
  </si>
  <si>
    <t>Recap Table</t>
  </si>
  <si>
    <t>Category</t>
  </si>
  <si>
    <t xml:space="preserve">Project: Total sampling points </t>
  </si>
  <si>
    <t xml:space="preserve">Baseline: Total sampling points  </t>
  </si>
  <si>
    <t>OFM00000001</t>
  </si>
  <si>
    <t>OFM00000002</t>
  </si>
  <si>
    <t>OFM00000003</t>
  </si>
  <si>
    <t>OFM00000004</t>
  </si>
  <si>
    <t>OFM00000005</t>
  </si>
  <si>
    <t>OFM00000006</t>
  </si>
  <si>
    <t>OFM00000007</t>
  </si>
  <si>
    <t>OFM00000008</t>
  </si>
  <si>
    <t>OFM00000009</t>
  </si>
  <si>
    <t>OFM00000010</t>
  </si>
  <si>
    <t>OFM00000011</t>
  </si>
  <si>
    <t>OFM00000012</t>
  </si>
  <si>
    <t>OFM00000013</t>
  </si>
  <si>
    <t>OFM00000014</t>
  </si>
  <si>
    <t>OFM00000015</t>
  </si>
  <si>
    <t>OFM00000016</t>
  </si>
  <si>
    <t>OFM00000017</t>
  </si>
  <si>
    <t>OFM00000018</t>
  </si>
  <si>
    <t>OFM00000019</t>
  </si>
  <si>
    <t>OFM00000020</t>
  </si>
  <si>
    <t>OFM00000021</t>
  </si>
  <si>
    <t>OFM00000022</t>
  </si>
  <si>
    <t>OFM00000023</t>
  </si>
  <si>
    <t>OFM00000024</t>
  </si>
  <si>
    <t>SOC datasheet table</t>
  </si>
  <si>
    <t>BSL</t>
  </si>
  <si>
    <t>RAI group farm TZ</t>
  </si>
  <si>
    <t>CarboNature I.D 3988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</si>
</sst>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8"/>
      <color theme="1"/>
      <name val="Aptos Narrow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14999847407452621"/>
        <bgColor rgb="FFC1F0C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2" fontId="0" fillId="0" borderId="0" xfId="0" applyNumberFormat="1"/>
    <xf numFmtId="2" fontId="0" fillId="0" borderId="0" xfId="0" pivotButton="1" applyNumberFormat="1"/>
    <xf numFmtId="2" fontId="0" fillId="0" borderId="0" xfId="0" applyNumberFormat="1" applyAlignment="1">
      <alignment horizontal="left"/>
    </xf>
    <xf numFmtId="164" fontId="0" fillId="0" borderId="0" xfId="0" pivotButton="1" applyNumberFormat="1"/>
    <xf numFmtId="164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indent="1"/>
    </xf>
    <xf numFmtId="10" fontId="0" fillId="0" borderId="0" xfId="0" applyNumberFormat="1"/>
    <xf numFmtId="0" fontId="6" fillId="0" borderId="0" xfId="0" applyFont="1"/>
    <xf numFmtId="2" fontId="0" fillId="0" borderId="0" xfId="0" applyNumberFormat="1" applyAlignment="1">
      <alignment horizontal="left" indent="1"/>
    </xf>
    <xf numFmtId="0" fontId="5" fillId="3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4" borderId="13" xfId="0" applyFont="1" applyFill="1" applyBorder="1" applyAlignment="1">
      <alignment horizontal="left" vertical="center"/>
    </xf>
    <xf numFmtId="0" fontId="8" fillId="4" borderId="1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3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5BD"/>
      <color rgb="FFFA9994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[SOC  Datasheet table- Castera trial.xlsx]New Dashboard!PivotTable1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 points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Dashboard'!$T$11</c:f>
              <c:strCache>
                <c:ptCount val="1"/>
                <c:pt idx="0">
                  <c:v>Total points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Dashboard'!$S$12:$S$18</c:f>
              <c:strCache>
                <c:ptCount val="6"/>
                <c:pt idx="0">
                  <c:v>Avtah</c:v>
                </c:pt>
                <c:pt idx="1">
                  <c:v>Izrael</c:v>
                </c:pt>
                <c:pt idx="2">
                  <c:v>Maoz Haim</c:v>
                </c:pt>
                <c:pt idx="3">
                  <c:v>Afek</c:v>
                </c:pt>
                <c:pt idx="4">
                  <c:v>Kvutzat Yavne</c:v>
                </c:pt>
                <c:pt idx="5">
                  <c:v>Tzbar Kama</c:v>
                </c:pt>
              </c:strCache>
            </c:strRef>
          </c:cat>
          <c:val>
            <c:numRef>
              <c:f>'New Dashboard'!$T$12:$T$18</c:f>
              <c:numCache>
                <c:formatCode>General</c:formatCode>
                <c:ptCount val="6"/>
                <c:pt idx="0">
                  <c:v>45</c:v>
                </c:pt>
                <c:pt idx="1">
                  <c:v>23</c:v>
                </c:pt>
                <c:pt idx="2">
                  <c:v>31</c:v>
                </c:pt>
                <c:pt idx="3">
                  <c:v>26</c:v>
                </c:pt>
                <c:pt idx="4">
                  <c:v>52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E-40CA-8096-56FE583D64C7}"/>
            </c:ext>
          </c:extLst>
        </c:ser>
        <c:ser>
          <c:idx val="1"/>
          <c:order val="1"/>
          <c:tx>
            <c:strRef>
              <c:f>'New Dashboard'!$U$11</c:f>
              <c:strCache>
                <c:ptCount val="1"/>
                <c:pt idx="0">
                  <c:v>Sampled points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Dashboard'!$S$12:$S$18</c:f>
              <c:strCache>
                <c:ptCount val="6"/>
                <c:pt idx="0">
                  <c:v>Avtah</c:v>
                </c:pt>
                <c:pt idx="1">
                  <c:v>Izrael</c:v>
                </c:pt>
                <c:pt idx="2">
                  <c:v>Maoz Haim</c:v>
                </c:pt>
                <c:pt idx="3">
                  <c:v>Afek</c:v>
                </c:pt>
                <c:pt idx="4">
                  <c:v>Kvutzat Yavne</c:v>
                </c:pt>
                <c:pt idx="5">
                  <c:v>Tzbar Kama</c:v>
                </c:pt>
              </c:strCache>
            </c:strRef>
          </c:cat>
          <c:val>
            <c:numRef>
              <c:f>'New Dashboard'!$U$12:$U$18</c:f>
              <c:numCache>
                <c:formatCode>General</c:formatCode>
                <c:ptCount val="6"/>
                <c:pt idx="0">
                  <c:v>0</c:v>
                </c:pt>
                <c:pt idx="1">
                  <c:v>23</c:v>
                </c:pt>
                <c:pt idx="2">
                  <c:v>30</c:v>
                </c:pt>
                <c:pt idx="3">
                  <c:v>0</c:v>
                </c:pt>
                <c:pt idx="4">
                  <c:v>30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EE-40CA-8096-56FE583D64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8057695"/>
        <c:axId val="1638057215"/>
      </c:barChart>
      <c:catAx>
        <c:axId val="163805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57215"/>
        <c:crosses val="autoZero"/>
        <c:auto val="1"/>
        <c:lblAlgn val="ctr"/>
        <c:lblOffset val="100"/>
        <c:noMultiLvlLbl val="0"/>
      </c:catAx>
      <c:valAx>
        <c:axId val="163805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5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 anchor="b" anchorCtr="1"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  Datasheet table- Castera trial.xlsx]New Dashboard!PivotTable5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SOC (%) Per Installation</a:t>
            </a:r>
          </a:p>
        </c:rich>
      </c:tx>
      <c:layout>
        <c:manualLayout>
          <c:xMode val="edge"/>
          <c:yMode val="edge"/>
          <c:x val="0.35067926590050014"/>
          <c:y val="6.7340041427593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Dashboard'!$U$29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'New Dashboard'!$T$30:$T$50</c:f>
              <c:multiLvlStrCache>
                <c:ptCount val="14"/>
                <c:lvl>
                  <c:pt idx="2">
                    <c:v>Bsl</c:v>
                  </c:pt>
                  <c:pt idx="3">
                    <c:v>WP</c:v>
                  </c:pt>
                  <c:pt idx="4">
                    <c:v>0</c:v>
                  </c:pt>
                  <c:pt idx="6">
                    <c:v>Bsl</c:v>
                  </c:pt>
                  <c:pt idx="7">
                    <c:v>WP</c:v>
                  </c:pt>
                  <c:pt idx="8">
                    <c:v>(blank)</c:v>
                  </c:pt>
                  <c:pt idx="10">
                    <c:v>Bsl</c:v>
                  </c:pt>
                  <c:pt idx="11">
                    <c:v>WP</c:v>
                  </c:pt>
                  <c:pt idx="12">
                    <c:v>Bsl</c:v>
                  </c:pt>
                  <c:pt idx="13">
                    <c:v>WP</c:v>
                  </c:pt>
                </c:lvl>
                <c:lvl>
                  <c:pt idx="0">
                    <c:v>Afek</c:v>
                  </c:pt>
                  <c:pt idx="1">
                    <c:v>Avtah</c:v>
                  </c:pt>
                  <c:pt idx="2">
                    <c:v>Izrael</c:v>
                  </c:pt>
                  <c:pt idx="4">
                    <c:v>Kvutzat Yavne</c:v>
                  </c:pt>
                  <c:pt idx="9">
                    <c:v>Maoz Haim</c:v>
                  </c:pt>
                  <c:pt idx="12">
                    <c:v>Tzbar Kama</c:v>
                  </c:pt>
                </c:lvl>
              </c:multiLvlStrCache>
            </c:multiLvlStrRef>
          </c:cat>
          <c:val>
            <c:numRef>
              <c:f>'New Dashboard'!$U$30:$U$50</c:f>
              <c:numCache>
                <c:formatCode>0.0</c:formatCode>
                <c:ptCount val="14"/>
                <c:pt idx="0">
                  <c:v>#N/A</c:v>
                </c:pt>
                <c:pt idx="1">
                  <c:v>#N/A</c:v>
                </c:pt>
                <c:pt idx="2">
                  <c:v>55.796098125</c:v>
                </c:pt>
                <c:pt idx="3">
                  <c:v>42.766414333333344</c:v>
                </c:pt>
                <c:pt idx="4">
                  <c:v>50.437428571428576</c:v>
                </c:pt>
                <c:pt idx="5">
                  <c:v>#N/A</c:v>
                </c:pt>
                <c:pt idx="6">
                  <c:v>49.983000000000004</c:v>
                </c:pt>
                <c:pt idx="7">
                  <c:v>54.601526315789492</c:v>
                </c:pt>
                <c:pt idx="8">
                  <c:v>#N/A</c:v>
                </c:pt>
                <c:pt idx="9">
                  <c:v>#N/A</c:v>
                </c:pt>
                <c:pt idx="10">
                  <c:v>55.332333333333331</c:v>
                </c:pt>
                <c:pt idx="11">
                  <c:v>75.435023809523813</c:v>
                </c:pt>
                <c:pt idx="12">
                  <c:v>40.721699999999998</c:v>
                </c:pt>
                <c:pt idx="13">
                  <c:v>58.97260869565217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58-4240-84C7-5712A4AE0E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6893072"/>
        <c:axId val="1346894032"/>
      </c:barChart>
      <c:catAx>
        <c:axId val="134689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4032"/>
        <c:crosses val="autoZero"/>
        <c:auto val="1"/>
        <c:lblAlgn val="ctr"/>
        <c:lblOffset val="100"/>
        <c:noMultiLvlLbl val="0"/>
      </c:catAx>
      <c:valAx>
        <c:axId val="13468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[SOC  Datasheet table- Castera trial.xlsx]New Dashboard!PivotTable6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 (%) Per Stratum</a:t>
            </a:r>
          </a:p>
        </c:rich>
      </c:tx>
      <c:layout>
        <c:manualLayout>
          <c:xMode val="edge"/>
          <c:yMode val="edge"/>
          <c:x val="0.33611592647917765"/>
          <c:y val="5.05973742586874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70867131832639"/>
          <c:y val="0.22938572791844097"/>
          <c:w val="0.81935745372216384"/>
          <c:h val="0.50064309299642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'New Dashboard'!$Z$29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'New Dashboard'!$Y$30:$Y$48</c:f>
              <c:multiLvlStrCache>
                <c:ptCount val="13"/>
                <c:lvl>
                  <c:pt idx="0">
                    <c:v>Bsl</c:v>
                  </c:pt>
                  <c:pt idx="1">
                    <c:v>WP</c:v>
                  </c:pt>
                  <c:pt idx="3">
                    <c:v>Bsl</c:v>
                  </c:pt>
                  <c:pt idx="4">
                    <c:v>WP</c:v>
                  </c:pt>
                  <c:pt idx="6">
                    <c:v>Bsl</c:v>
                  </c:pt>
                  <c:pt idx="7">
                    <c:v>WP</c:v>
                  </c:pt>
                  <c:pt idx="8">
                    <c:v>(blank)</c:v>
                  </c:pt>
                  <c:pt idx="10">
                    <c:v>Bsl</c:v>
                  </c:pt>
                  <c:pt idx="11">
                    <c:v>WP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5">
                    <c:v>3</c:v>
                  </c:pt>
                  <c:pt idx="9">
                    <c:v>4</c:v>
                  </c:pt>
                  <c:pt idx="12">
                    <c:v>7</c:v>
                  </c:pt>
                </c:lvl>
              </c:multiLvlStrCache>
            </c:multiLvlStrRef>
          </c:cat>
          <c:val>
            <c:numRef>
              <c:f>'New Dashboard'!$Z$30:$Z$48</c:f>
              <c:numCache>
                <c:formatCode>0.00</c:formatCode>
                <c:ptCount val="13"/>
                <c:pt idx="0">
                  <c:v>55.796098125</c:v>
                </c:pt>
                <c:pt idx="1">
                  <c:v>42.766414333333344</c:v>
                </c:pt>
                <c:pt idx="2">
                  <c:v>#N/A</c:v>
                </c:pt>
                <c:pt idx="3">
                  <c:v>55.332333333333331</c:v>
                </c:pt>
                <c:pt idx="4">
                  <c:v>75.435023809523813</c:v>
                </c:pt>
                <c:pt idx="5">
                  <c:v>#N/A</c:v>
                </c:pt>
                <c:pt idx="6">
                  <c:v>43.866916666666668</c:v>
                </c:pt>
                <c:pt idx="7">
                  <c:v>61.730112903225809</c:v>
                </c:pt>
                <c:pt idx="8">
                  <c:v>#N/A</c:v>
                </c:pt>
                <c:pt idx="9">
                  <c:v>#N/A</c:v>
                </c:pt>
                <c:pt idx="10">
                  <c:v>42.993437500000006</c:v>
                </c:pt>
                <c:pt idx="11">
                  <c:v>43.651409090909091</c:v>
                </c:pt>
                <c:pt idx="1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9-4B9A-9A97-352C58DBAE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106783"/>
        <c:axId val="732107743"/>
      </c:barChart>
      <c:catAx>
        <c:axId val="73210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07743"/>
        <c:crosses val="autoZero"/>
        <c:auto val="1"/>
        <c:lblAlgn val="ctr"/>
        <c:lblOffset val="100"/>
        <c:noMultiLvlLbl val="0"/>
      </c:catAx>
      <c:valAx>
        <c:axId val="73210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10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[SOC  Datasheet table- Castera trial.xlsx]New Dashboard!PivotTable8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</a:t>
            </a:r>
            <a:r>
              <a:rPr lang="en-US" baseline="0"/>
              <a:t> to CROPNUT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'New Dashboard'!$AB$11</c:f>
              <c:strCache>
                <c:ptCount val="1"/>
                <c:pt idx="0">
                  <c:v>Count of Sent ot Volcani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88-45C0-8478-6D19B5D8747C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88-45C0-8478-6D19B5D8747C}"/>
              </c:ext>
            </c:extLst>
          </c:dPt>
          <c:cat>
            <c:strRef>
              <c:f>'New Dashboard'!$AA$12:$AA$14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'New Dashboard'!$AB$12:$AB$14</c:f>
              <c:numCache>
                <c:formatCode>General</c:formatCode>
                <c:ptCount val="2"/>
                <c:pt idx="0">
                  <c:v>116</c:v>
                </c:pt>
                <c:pt idx="1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88-45C0-8478-6D19B5D8747C}"/>
            </c:ext>
          </c:extLst>
        </c:ser>
        <c:ser>
          <c:idx val="1"/>
          <c:order val="1"/>
          <c:tx>
            <c:strRef>
              <c:f>'New Dashboard'!$AC$11</c:f>
              <c:strCache>
                <c:ptCount val="1"/>
                <c:pt idx="0">
                  <c:v>Count of Sample ID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BA88-45C0-8478-6D19B5D8747C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BA88-45C0-8478-6D19B5D8747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'New Dashboard'!$AA$12:$AA$14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'New Dashboard'!$AC$12:$AC$14</c:f>
              <c:numCache>
                <c:formatCode>0.00%</c:formatCode>
                <c:ptCount val="2"/>
                <c:pt idx="0">
                  <c:v>0.55238095238095242</c:v>
                </c:pt>
                <c:pt idx="1">
                  <c:v>0.44761904761904764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A88-45C0-8478-6D19B5D87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[SOC  Datasheet table- Castera trial.xlsx]New Dashboard!PivotTable4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Points per Stratum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Dashboard'!$X$11</c:f>
              <c:strCache>
                <c:ptCount val="1"/>
                <c:pt idx="0">
                  <c:v>Total  Points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Dashboard'!$W$12:$W$16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'New Dashboard'!$X$12:$X$16</c:f>
              <c:numCache>
                <c:formatCode>General</c:formatCode>
                <c:ptCount val="4"/>
                <c:pt idx="0">
                  <c:v>23</c:v>
                </c:pt>
                <c:pt idx="1">
                  <c:v>52</c:v>
                </c:pt>
                <c:pt idx="2">
                  <c:v>103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3-44BD-8918-FD320333C7DD}"/>
            </c:ext>
          </c:extLst>
        </c:ser>
        <c:ser>
          <c:idx val="1"/>
          <c:order val="1"/>
          <c:tx>
            <c:strRef>
              <c:f>'New Dashboard'!$Y$11</c:f>
              <c:strCache>
                <c:ptCount val="1"/>
                <c:pt idx="0">
                  <c:v>Sampled Points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Dashboard'!$W$12:$W$16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'New Dashboard'!$Y$12:$Y$16</c:f>
              <c:numCache>
                <c:formatCode>General</c:formatCode>
                <c:ptCount val="4"/>
                <c:pt idx="0">
                  <c:v>23</c:v>
                </c:pt>
                <c:pt idx="1">
                  <c:v>30</c:v>
                </c:pt>
                <c:pt idx="2">
                  <c:v>42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3-44BD-8918-FD320333C7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7589279"/>
        <c:axId val="677595519"/>
      </c:barChart>
      <c:catAx>
        <c:axId val="67758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595519"/>
        <c:crosses val="autoZero"/>
        <c:auto val="1"/>
        <c:lblAlgn val="ctr"/>
        <c:lblOffset val="100"/>
        <c:noMultiLvlLbl val="0"/>
      </c:catAx>
      <c:valAx>
        <c:axId val="67759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58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9</xdr:row>
      <xdr:rowOff>136072</xdr:rowOff>
    </xdr:from>
    <xdr:to>
      <xdr:col>5</xdr:col>
      <xdr:colOff>717343</xdr:colOff>
      <xdr:row>24</xdr:row>
      <xdr:rowOff>117021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316FEA-A8E7-47B6-AD4D-DE2FC9EBC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217106</xdr:colOff>
      <xdr:row>27</xdr:row>
      <xdr:rowOff>57173</xdr:rowOff>
    </xdr:from>
    <xdr:to>
      <xdr:col>5</xdr:col>
      <xdr:colOff>742950</xdr:colOff>
      <xdr:row>42</xdr:row>
      <xdr:rowOff>2531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06BF91-5877-5496-242B-4C2ADFE2D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236475</xdr:colOff>
      <xdr:row>27</xdr:row>
      <xdr:rowOff>95250</xdr:rowOff>
    </xdr:from>
    <xdr:to>
      <xdr:col>11</xdr:col>
      <xdr:colOff>676275</xdr:colOff>
      <xdr:row>42</xdr:row>
      <xdr:rowOff>9277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7BBA8C-91E0-FBDC-4362-F9D9AF98D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773257</xdr:colOff>
      <xdr:row>10</xdr:row>
      <xdr:rowOff>29729</xdr:rowOff>
    </xdr:from>
    <xdr:to>
      <xdr:col>15</xdr:col>
      <xdr:colOff>560986</xdr:colOff>
      <xdr:row>25</xdr:row>
      <xdr:rowOff>57850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852E425-5F85-4219-8150-21A7B995C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295275</xdr:colOff>
      <xdr:row>9</xdr:row>
      <xdr:rowOff>141287</xdr:rowOff>
    </xdr:from>
    <xdr:to>
      <xdr:col>10</xdr:col>
      <xdr:colOff>238125</xdr:colOff>
      <xdr:row>24</xdr:row>
      <xdr:rowOff>169862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B5D27A-6FE4-E363-FE1B-5379866B9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Gadash%20Sampling%20tracking-Dashboar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693.501260185185" createdVersion="8" refreshedVersion="8" minRefreshableVersion="3" recordCount="211" xr:uid="{4CA54A57-0444-47D6-A3D2-E25EE8953D2A}">
  <cacheSource type="worksheet">
    <worksheetSource ref="A1:Q1048576" sheet="All Resaults" r:id="rId2"/>
  </cacheSource>
  <cacheFields count="18">
    <cacheField name="Sample ID" numFmtId="0">
      <sharedItems containsString="0" containsBlank="1" containsNumber="1" containsInteger="1" minValue="4000" maxValue="993084"/>
    </cacheField>
    <cacheField name="Installation" numFmtId="0">
      <sharedItems containsBlank="1" count="11">
        <s v="Afek"/>
        <s v="Avtah"/>
        <s v="Izrael"/>
        <s v="Kvutzat Yavne"/>
        <s v="Maoz Haim"/>
        <s v="Tzbar Kama"/>
        <m/>
        <s v="TK" u="1"/>
        <s v="KY" u="1"/>
        <s v="Tzabar Kama" u="1"/>
        <s v="Afek Openfields" u="1"/>
      </sharedItems>
    </cacheField>
    <cacheField name="Sampled Date" numFmtId="0">
      <sharedItems containsDate="1" containsBlank="1" containsMixedTypes="1" minDate="2025-01-09T00:00:00" maxDate="2025-01-10T00:00:00"/>
    </cacheField>
    <cacheField name="Sent ot Volcani" numFmtId="0">
      <sharedItems containsBlank="1" containsMixedTypes="1" containsNumber="1" containsInteger="1" minValue="1" maxValue="1" count="4">
        <s v="Yes"/>
        <s v="no"/>
        <m/>
        <n v="1" u="1"/>
      </sharedItems>
    </cacheField>
    <cacheField name="Stratum" numFmtId="0">
      <sharedItems containsBlank="1" count="8">
        <s v="2"/>
        <s v="7"/>
        <s v="3"/>
        <s v="6"/>
        <s v="1"/>
        <s v="4"/>
        <m/>
        <s v="" u="1"/>
      </sharedItems>
    </cacheField>
    <cacheField name="Depth" numFmtId="0">
      <sharedItems containsBlank="1" containsMixedTypes="1" containsNumber="1" containsInteger="1" minValue="30" maxValue="30"/>
    </cacheField>
    <cacheField name="BSL/PR" numFmtId="0">
      <sharedItems containsBlank="1" containsMixedTypes="1" containsNumber="1" containsInteger="1" minValue="0" maxValue="0" count="5">
        <s v=""/>
        <s v="Bsl"/>
        <s v="WP"/>
        <n v="0"/>
        <m/>
      </sharedItems>
    </cacheField>
    <cacheField name="MP/TL" numFmtId="0">
      <sharedItems containsBlank="1"/>
    </cacheField>
    <cacheField name="BD [gr/cm^3]" numFmtId="0">
      <sharedItems containsBlank="1" containsMixedTypes="1" containsNumber="1" minValue="0" maxValue="1.79"/>
    </cacheField>
    <cacheField name="C/N  ratio" numFmtId="0">
      <sharedItems containsBlank="1" containsMixedTypes="1" containsNumber="1" minValue="10.07268322228952" maxValue="116.0693"/>
    </cacheField>
    <cacheField name="N  [%]" numFmtId="0">
      <sharedItems containsBlank="1" containsMixedTypes="1" containsNumber="1" minValue="1.04E-2" maxValue="0.1651"/>
    </cacheField>
    <cacheField name="ROC 600 [%]" numFmtId="0">
      <sharedItems containsBlank="1" containsMixedTypes="1" containsNumber="1" minValue="0.114" maxValue="0.81499999999999995"/>
    </cacheField>
    <cacheField name="SOC [t/ha]" numFmtId="0">
      <sharedItems containsBlank="1" containsMixedTypes="1" containsNumber="1" minValue="0" maxValue="135.1875"/>
    </cacheField>
    <cacheField name="TC  [%]" numFmtId="0">
      <sharedItems containsBlank="1" containsMixedTypes="1" containsNumber="1" minValue="0.96499999999999997" maxValue="11.023"/>
    </cacheField>
    <cacheField name="TIC 900 [%]" numFmtId="0">
      <sharedItems containsBlank="1" containsMixedTypes="1" containsNumber="1" minValue="0.46899999999999997" maxValue="8.6370000000000005"/>
    </cacheField>
    <cacheField name="TOC  [%]" numFmtId="0">
      <sharedItems containsBlank="1" containsMixedTypes="1" containsNumber="1" minValue="0.38300000000000001" maxValue="2.387"/>
    </cacheField>
    <cacheField name="TOC 400 [%]" numFmtId="0">
      <sharedItems containsBlank="1" containsMixedTypes="1" containsNumber="1" minValue="0.24199999999999999" maxValue="1.5720000000000001"/>
    </cacheField>
    <cacheField name="Precentege" numFmtId="0" formula="#NAME? /#NAME?" databaseField="0"/>
  </cacheFields>
  <extLst>
    <ext xmlns:x14="http://schemas.microsoft.com/office/spreadsheetml/2009/9/main" uri="{725AE2AE-9491-48be-B2B4-4EB974FC3084}">
      <x14:pivotCacheDefinition pivotCacheId="6392893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n v="131264"/>
    <x v="0"/>
    <s v=""/>
    <x v="0"/>
    <x v="0"/>
    <s v=""/>
    <x v="0"/>
    <s v=""/>
    <s v=""/>
    <s v=""/>
    <s v=""/>
    <s v=""/>
    <s v=""/>
    <s v=""/>
    <s v=""/>
    <s v=""/>
    <s v=""/>
  </r>
  <r>
    <n v="136827"/>
    <x v="0"/>
    <s v=""/>
    <x v="0"/>
    <x v="0"/>
    <s v=""/>
    <x v="0"/>
    <s v=""/>
    <s v=""/>
    <s v=""/>
    <s v=""/>
    <s v=""/>
    <s v=""/>
    <s v=""/>
    <s v=""/>
    <s v=""/>
    <s v=""/>
  </r>
  <r>
    <n v="144156"/>
    <x v="0"/>
    <s v=""/>
    <x v="0"/>
    <x v="0"/>
    <s v=""/>
    <x v="0"/>
    <s v=""/>
    <s v=""/>
    <s v=""/>
    <s v=""/>
    <s v=""/>
    <s v=""/>
    <s v=""/>
    <s v=""/>
    <s v=""/>
    <s v=""/>
  </r>
  <r>
    <n v="187535"/>
    <x v="0"/>
    <s v=""/>
    <x v="0"/>
    <x v="0"/>
    <s v=""/>
    <x v="0"/>
    <s v=""/>
    <s v=""/>
    <s v=""/>
    <s v=""/>
    <s v=""/>
    <s v=""/>
    <s v=""/>
    <s v=""/>
    <s v=""/>
    <s v=""/>
  </r>
  <r>
    <n v="208949"/>
    <x v="0"/>
    <s v=""/>
    <x v="0"/>
    <x v="0"/>
    <s v=""/>
    <x v="0"/>
    <s v=""/>
    <s v=""/>
    <s v=""/>
    <s v=""/>
    <s v=""/>
    <s v=""/>
    <s v=""/>
    <s v=""/>
    <s v=""/>
    <s v=""/>
  </r>
  <r>
    <n v="242005"/>
    <x v="0"/>
    <s v=""/>
    <x v="0"/>
    <x v="0"/>
    <s v=""/>
    <x v="0"/>
    <s v=""/>
    <s v=""/>
    <s v=""/>
    <s v=""/>
    <s v=""/>
    <s v=""/>
    <s v=""/>
    <s v=""/>
    <s v=""/>
    <s v=""/>
  </r>
  <r>
    <n v="273474"/>
    <x v="0"/>
    <s v=""/>
    <x v="0"/>
    <x v="0"/>
    <s v=""/>
    <x v="0"/>
    <s v=""/>
    <s v=""/>
    <s v=""/>
    <s v=""/>
    <s v=""/>
    <s v=""/>
    <s v=""/>
    <s v=""/>
    <s v=""/>
    <s v=""/>
  </r>
  <r>
    <n v="296343"/>
    <x v="0"/>
    <s v=""/>
    <x v="0"/>
    <x v="0"/>
    <s v=""/>
    <x v="0"/>
    <s v=""/>
    <s v=""/>
    <s v=""/>
    <s v=""/>
    <s v=""/>
    <s v=""/>
    <s v=""/>
    <s v=""/>
    <s v=""/>
    <s v=""/>
  </r>
  <r>
    <n v="321181"/>
    <x v="0"/>
    <s v=""/>
    <x v="0"/>
    <x v="1"/>
    <s v=""/>
    <x v="0"/>
    <s v=""/>
    <s v=""/>
    <s v=""/>
    <s v=""/>
    <s v=""/>
    <s v=""/>
    <s v=""/>
    <s v=""/>
    <s v=""/>
    <s v=""/>
  </r>
  <r>
    <n v="349561"/>
    <x v="0"/>
    <s v=""/>
    <x v="0"/>
    <x v="0"/>
    <s v=""/>
    <x v="0"/>
    <s v=""/>
    <s v=""/>
    <s v=""/>
    <s v=""/>
    <s v=""/>
    <s v=""/>
    <s v=""/>
    <s v=""/>
    <s v=""/>
    <s v=""/>
  </r>
  <r>
    <n v="368535"/>
    <x v="0"/>
    <s v=""/>
    <x v="0"/>
    <x v="1"/>
    <s v=""/>
    <x v="0"/>
    <s v=""/>
    <s v=""/>
    <s v=""/>
    <s v=""/>
    <s v=""/>
    <s v=""/>
    <s v=""/>
    <s v=""/>
    <s v=""/>
    <s v=""/>
  </r>
  <r>
    <n v="370848"/>
    <x v="0"/>
    <s v=""/>
    <x v="0"/>
    <x v="0"/>
    <s v=""/>
    <x v="0"/>
    <s v=""/>
    <s v=""/>
    <s v=""/>
    <s v=""/>
    <s v=""/>
    <s v=""/>
    <s v=""/>
    <s v=""/>
    <s v=""/>
    <s v=""/>
  </r>
  <r>
    <n v="413953"/>
    <x v="0"/>
    <s v=""/>
    <x v="0"/>
    <x v="0"/>
    <s v=""/>
    <x v="0"/>
    <s v=""/>
    <s v=""/>
    <s v=""/>
    <s v=""/>
    <s v=""/>
    <s v=""/>
    <s v=""/>
    <s v=""/>
    <s v=""/>
    <s v=""/>
  </r>
  <r>
    <n v="682919"/>
    <x v="0"/>
    <s v=""/>
    <x v="0"/>
    <x v="0"/>
    <s v=""/>
    <x v="0"/>
    <s v=""/>
    <s v=""/>
    <s v=""/>
    <s v=""/>
    <s v=""/>
    <s v=""/>
    <s v=""/>
    <s v=""/>
    <s v=""/>
    <s v=""/>
  </r>
  <r>
    <n v="697714"/>
    <x v="0"/>
    <s v=""/>
    <x v="0"/>
    <x v="0"/>
    <s v=""/>
    <x v="0"/>
    <s v=""/>
    <s v=""/>
    <s v=""/>
    <s v=""/>
    <s v=""/>
    <s v=""/>
    <s v=""/>
    <s v=""/>
    <s v=""/>
    <s v=""/>
  </r>
  <r>
    <n v="705382"/>
    <x v="0"/>
    <s v=""/>
    <x v="0"/>
    <x v="1"/>
    <s v=""/>
    <x v="0"/>
    <s v=""/>
    <s v=""/>
    <s v=""/>
    <s v=""/>
    <s v=""/>
    <s v=""/>
    <s v=""/>
    <s v=""/>
    <s v=""/>
    <s v=""/>
  </r>
  <r>
    <n v="721003"/>
    <x v="0"/>
    <s v=""/>
    <x v="0"/>
    <x v="0"/>
    <s v=""/>
    <x v="0"/>
    <s v=""/>
    <s v=""/>
    <s v=""/>
    <s v=""/>
    <s v=""/>
    <s v=""/>
    <s v=""/>
    <s v=""/>
    <s v=""/>
    <s v=""/>
  </r>
  <r>
    <n v="757076"/>
    <x v="0"/>
    <s v=""/>
    <x v="0"/>
    <x v="1"/>
    <s v=""/>
    <x v="0"/>
    <s v=""/>
    <s v=""/>
    <s v=""/>
    <s v=""/>
    <s v=""/>
    <s v=""/>
    <s v=""/>
    <s v=""/>
    <s v=""/>
    <s v=""/>
  </r>
  <r>
    <n v="784175"/>
    <x v="0"/>
    <s v=""/>
    <x v="0"/>
    <x v="0"/>
    <s v=""/>
    <x v="0"/>
    <s v=""/>
    <s v=""/>
    <s v=""/>
    <s v=""/>
    <s v=""/>
    <s v=""/>
    <s v=""/>
    <s v=""/>
    <s v=""/>
    <s v=""/>
  </r>
  <r>
    <n v="824786"/>
    <x v="0"/>
    <s v=""/>
    <x v="0"/>
    <x v="0"/>
    <s v=""/>
    <x v="0"/>
    <s v=""/>
    <s v=""/>
    <s v=""/>
    <s v=""/>
    <s v=""/>
    <s v=""/>
    <s v=""/>
    <s v=""/>
    <s v=""/>
    <s v=""/>
  </r>
  <r>
    <n v="842202"/>
    <x v="0"/>
    <s v=""/>
    <x v="0"/>
    <x v="0"/>
    <s v=""/>
    <x v="0"/>
    <s v=""/>
    <s v=""/>
    <s v=""/>
    <s v=""/>
    <s v=""/>
    <s v=""/>
    <s v=""/>
    <s v=""/>
    <s v=""/>
    <s v=""/>
  </r>
  <r>
    <n v="852355"/>
    <x v="0"/>
    <s v=""/>
    <x v="0"/>
    <x v="0"/>
    <s v=""/>
    <x v="0"/>
    <s v=""/>
    <s v=""/>
    <s v=""/>
    <s v=""/>
    <s v=""/>
    <s v=""/>
    <s v=""/>
    <s v=""/>
    <s v=""/>
    <s v=""/>
  </r>
  <r>
    <n v="855404"/>
    <x v="0"/>
    <s v=""/>
    <x v="0"/>
    <x v="0"/>
    <s v=""/>
    <x v="0"/>
    <s v=""/>
    <s v=""/>
    <s v=""/>
    <s v=""/>
    <s v=""/>
    <s v=""/>
    <s v=""/>
    <s v=""/>
    <s v=""/>
    <s v=""/>
  </r>
  <r>
    <n v="887353"/>
    <x v="0"/>
    <s v=""/>
    <x v="0"/>
    <x v="0"/>
    <s v=""/>
    <x v="0"/>
    <s v=""/>
    <s v=""/>
    <s v=""/>
    <s v=""/>
    <s v=""/>
    <s v=""/>
    <s v=""/>
    <s v=""/>
    <s v=""/>
    <s v=""/>
  </r>
  <r>
    <n v="944106"/>
    <x v="0"/>
    <s v=""/>
    <x v="0"/>
    <x v="1"/>
    <s v=""/>
    <x v="0"/>
    <s v=""/>
    <s v=""/>
    <s v=""/>
    <s v=""/>
    <s v=""/>
    <s v=""/>
    <s v=""/>
    <s v=""/>
    <s v=""/>
    <s v=""/>
  </r>
  <r>
    <n v="980880"/>
    <x v="0"/>
    <s v=""/>
    <x v="0"/>
    <x v="0"/>
    <s v=""/>
    <x v="0"/>
    <s v=""/>
    <s v=""/>
    <s v=""/>
    <s v=""/>
    <s v=""/>
    <s v=""/>
    <s v=""/>
    <s v=""/>
    <s v=""/>
    <s v=""/>
  </r>
  <r>
    <n v="102055"/>
    <x v="1"/>
    <s v=""/>
    <x v="0"/>
    <x v="2"/>
    <s v=""/>
    <x v="0"/>
    <s v=""/>
    <s v=""/>
    <s v=""/>
    <s v=""/>
    <s v=""/>
    <s v=""/>
    <s v=""/>
    <s v=""/>
    <s v=""/>
    <s v=""/>
  </r>
  <r>
    <n v="115108"/>
    <x v="1"/>
    <s v=""/>
    <x v="0"/>
    <x v="2"/>
    <s v=""/>
    <x v="0"/>
    <s v=""/>
    <s v=""/>
    <s v=""/>
    <s v=""/>
    <s v=""/>
    <s v=""/>
    <s v=""/>
    <s v=""/>
    <s v=""/>
    <s v=""/>
  </r>
  <r>
    <n v="123856"/>
    <x v="1"/>
    <s v=""/>
    <x v="0"/>
    <x v="2"/>
    <s v=""/>
    <x v="0"/>
    <s v=""/>
    <s v=""/>
    <s v=""/>
    <s v=""/>
    <s v=""/>
    <s v=""/>
    <s v=""/>
    <s v=""/>
    <s v=""/>
    <s v=""/>
  </r>
  <r>
    <n v="141739"/>
    <x v="1"/>
    <s v=""/>
    <x v="0"/>
    <x v="2"/>
    <s v=""/>
    <x v="0"/>
    <s v=""/>
    <s v=""/>
    <s v=""/>
    <s v=""/>
    <s v=""/>
    <s v=""/>
    <s v=""/>
    <s v=""/>
    <s v=""/>
    <s v=""/>
  </r>
  <r>
    <n v="155843"/>
    <x v="1"/>
    <s v=""/>
    <x v="0"/>
    <x v="2"/>
    <s v=""/>
    <x v="0"/>
    <s v=""/>
    <s v=""/>
    <s v=""/>
    <s v=""/>
    <s v=""/>
    <s v=""/>
    <s v=""/>
    <s v=""/>
    <s v=""/>
    <s v=""/>
  </r>
  <r>
    <n v="190885"/>
    <x v="1"/>
    <s v=""/>
    <x v="0"/>
    <x v="2"/>
    <s v=""/>
    <x v="0"/>
    <s v=""/>
    <s v=""/>
    <s v=""/>
    <s v=""/>
    <s v=""/>
    <s v=""/>
    <s v=""/>
    <s v=""/>
    <s v=""/>
    <s v=""/>
  </r>
  <r>
    <n v="196875"/>
    <x v="1"/>
    <s v=""/>
    <x v="0"/>
    <x v="2"/>
    <s v=""/>
    <x v="0"/>
    <s v=""/>
    <s v=""/>
    <s v=""/>
    <s v=""/>
    <s v=""/>
    <s v=""/>
    <s v=""/>
    <s v=""/>
    <s v=""/>
    <s v=""/>
  </r>
  <r>
    <n v="199123"/>
    <x v="1"/>
    <s v=""/>
    <x v="0"/>
    <x v="2"/>
    <s v=""/>
    <x v="0"/>
    <s v=""/>
    <s v=""/>
    <s v=""/>
    <s v=""/>
    <s v=""/>
    <s v=""/>
    <s v=""/>
    <s v=""/>
    <s v=""/>
    <s v=""/>
  </r>
  <r>
    <n v="248181"/>
    <x v="1"/>
    <s v=""/>
    <x v="0"/>
    <x v="2"/>
    <s v=""/>
    <x v="0"/>
    <s v=""/>
    <s v=""/>
    <s v=""/>
    <s v=""/>
    <s v=""/>
    <s v=""/>
    <s v=""/>
    <s v=""/>
    <s v=""/>
    <s v=""/>
  </r>
  <r>
    <n v="254931"/>
    <x v="1"/>
    <s v=""/>
    <x v="0"/>
    <x v="2"/>
    <s v=""/>
    <x v="0"/>
    <s v=""/>
    <s v=""/>
    <s v=""/>
    <s v=""/>
    <s v=""/>
    <s v=""/>
    <s v=""/>
    <s v=""/>
    <s v=""/>
    <s v=""/>
  </r>
  <r>
    <n v="343028"/>
    <x v="1"/>
    <s v=""/>
    <x v="0"/>
    <x v="2"/>
    <s v=""/>
    <x v="0"/>
    <s v=""/>
    <s v=""/>
    <s v=""/>
    <s v=""/>
    <s v=""/>
    <s v=""/>
    <s v=""/>
    <s v=""/>
    <s v=""/>
    <s v=""/>
  </r>
  <r>
    <n v="358732"/>
    <x v="1"/>
    <s v=""/>
    <x v="0"/>
    <x v="2"/>
    <s v=""/>
    <x v="0"/>
    <s v=""/>
    <s v=""/>
    <s v=""/>
    <s v=""/>
    <s v=""/>
    <s v=""/>
    <s v=""/>
    <s v=""/>
    <s v=""/>
    <s v=""/>
  </r>
  <r>
    <n v="359711"/>
    <x v="1"/>
    <s v=""/>
    <x v="0"/>
    <x v="2"/>
    <s v=""/>
    <x v="0"/>
    <s v=""/>
    <s v=""/>
    <s v=""/>
    <s v=""/>
    <s v=""/>
    <s v=""/>
    <s v=""/>
    <s v=""/>
    <s v=""/>
    <s v=""/>
  </r>
  <r>
    <n v="390833"/>
    <x v="1"/>
    <s v=""/>
    <x v="0"/>
    <x v="2"/>
    <s v=""/>
    <x v="0"/>
    <s v=""/>
    <s v=""/>
    <s v=""/>
    <s v=""/>
    <s v=""/>
    <s v=""/>
    <s v=""/>
    <s v=""/>
    <s v=""/>
    <s v=""/>
  </r>
  <r>
    <n v="457637"/>
    <x v="1"/>
    <s v=""/>
    <x v="0"/>
    <x v="2"/>
    <s v=""/>
    <x v="0"/>
    <s v=""/>
    <s v=""/>
    <s v=""/>
    <s v=""/>
    <s v=""/>
    <s v=""/>
    <s v=""/>
    <s v=""/>
    <s v=""/>
    <s v=""/>
  </r>
  <r>
    <n v="473511"/>
    <x v="1"/>
    <s v=""/>
    <x v="0"/>
    <x v="2"/>
    <s v=""/>
    <x v="0"/>
    <s v=""/>
    <s v=""/>
    <s v=""/>
    <s v=""/>
    <s v=""/>
    <s v=""/>
    <s v=""/>
    <s v=""/>
    <s v=""/>
    <s v=""/>
  </r>
  <r>
    <n v="482254"/>
    <x v="1"/>
    <s v=""/>
    <x v="0"/>
    <x v="2"/>
    <s v=""/>
    <x v="0"/>
    <s v=""/>
    <s v=""/>
    <s v=""/>
    <s v=""/>
    <s v=""/>
    <s v=""/>
    <s v=""/>
    <s v=""/>
    <s v=""/>
    <s v=""/>
  </r>
  <r>
    <n v="533885"/>
    <x v="1"/>
    <s v=""/>
    <x v="0"/>
    <x v="2"/>
    <s v=""/>
    <x v="0"/>
    <s v=""/>
    <s v=""/>
    <s v=""/>
    <s v=""/>
    <s v=""/>
    <s v=""/>
    <s v=""/>
    <s v=""/>
    <s v=""/>
    <s v=""/>
  </r>
  <r>
    <n v="546381"/>
    <x v="1"/>
    <s v=""/>
    <x v="0"/>
    <x v="2"/>
    <s v=""/>
    <x v="0"/>
    <s v=""/>
    <s v=""/>
    <s v=""/>
    <s v=""/>
    <s v=""/>
    <s v=""/>
    <s v=""/>
    <s v=""/>
    <s v=""/>
    <s v=""/>
  </r>
  <r>
    <n v="546949"/>
    <x v="1"/>
    <s v=""/>
    <x v="0"/>
    <x v="2"/>
    <s v=""/>
    <x v="0"/>
    <s v=""/>
    <s v=""/>
    <s v=""/>
    <s v=""/>
    <s v=""/>
    <s v=""/>
    <s v=""/>
    <s v=""/>
    <s v=""/>
    <s v=""/>
  </r>
  <r>
    <n v="550715"/>
    <x v="1"/>
    <s v=""/>
    <x v="0"/>
    <x v="2"/>
    <s v=""/>
    <x v="0"/>
    <s v=""/>
    <s v=""/>
    <s v=""/>
    <s v=""/>
    <s v=""/>
    <s v=""/>
    <s v=""/>
    <s v=""/>
    <s v=""/>
    <s v=""/>
  </r>
  <r>
    <n v="585466"/>
    <x v="1"/>
    <s v=""/>
    <x v="0"/>
    <x v="2"/>
    <s v=""/>
    <x v="0"/>
    <s v=""/>
    <s v=""/>
    <s v=""/>
    <s v=""/>
    <s v=""/>
    <s v=""/>
    <s v=""/>
    <s v=""/>
    <s v=""/>
    <s v=""/>
  </r>
  <r>
    <n v="590250"/>
    <x v="1"/>
    <s v=""/>
    <x v="0"/>
    <x v="2"/>
    <s v=""/>
    <x v="0"/>
    <s v=""/>
    <s v=""/>
    <s v=""/>
    <s v=""/>
    <s v=""/>
    <s v=""/>
    <s v=""/>
    <s v=""/>
    <s v=""/>
    <s v=""/>
  </r>
  <r>
    <n v="620614"/>
    <x v="1"/>
    <s v=""/>
    <x v="0"/>
    <x v="2"/>
    <s v=""/>
    <x v="0"/>
    <s v=""/>
    <s v=""/>
    <s v=""/>
    <s v=""/>
    <s v=""/>
    <s v=""/>
    <s v=""/>
    <s v=""/>
    <s v=""/>
    <s v=""/>
  </r>
  <r>
    <n v="631376"/>
    <x v="1"/>
    <s v=""/>
    <x v="0"/>
    <x v="2"/>
    <s v=""/>
    <x v="0"/>
    <s v=""/>
    <s v=""/>
    <s v=""/>
    <s v=""/>
    <s v=""/>
    <s v=""/>
    <s v=""/>
    <s v=""/>
    <s v=""/>
    <s v=""/>
  </r>
  <r>
    <n v="636293"/>
    <x v="1"/>
    <s v=""/>
    <x v="0"/>
    <x v="3"/>
    <s v=""/>
    <x v="0"/>
    <s v=""/>
    <s v=""/>
    <s v=""/>
    <s v=""/>
    <s v=""/>
    <s v=""/>
    <s v=""/>
    <s v=""/>
    <s v=""/>
    <s v=""/>
  </r>
  <r>
    <n v="658011"/>
    <x v="1"/>
    <s v=""/>
    <x v="0"/>
    <x v="2"/>
    <s v=""/>
    <x v="0"/>
    <s v=""/>
    <s v=""/>
    <s v=""/>
    <s v=""/>
    <s v=""/>
    <s v=""/>
    <s v=""/>
    <s v=""/>
    <s v=""/>
    <s v=""/>
  </r>
  <r>
    <n v="663942"/>
    <x v="1"/>
    <s v=""/>
    <x v="0"/>
    <x v="3"/>
    <s v=""/>
    <x v="0"/>
    <s v=""/>
    <s v=""/>
    <s v=""/>
    <s v=""/>
    <s v=""/>
    <s v=""/>
    <s v=""/>
    <s v=""/>
    <s v=""/>
    <s v=""/>
  </r>
  <r>
    <n v="680472"/>
    <x v="1"/>
    <s v=""/>
    <x v="0"/>
    <x v="2"/>
    <s v=""/>
    <x v="0"/>
    <s v=""/>
    <s v=""/>
    <s v=""/>
    <s v=""/>
    <s v=""/>
    <s v=""/>
    <s v=""/>
    <s v=""/>
    <s v=""/>
    <s v=""/>
  </r>
  <r>
    <n v="713365"/>
    <x v="1"/>
    <s v=""/>
    <x v="0"/>
    <x v="3"/>
    <s v=""/>
    <x v="0"/>
    <s v=""/>
    <s v=""/>
    <s v=""/>
    <s v=""/>
    <s v=""/>
    <s v=""/>
    <s v=""/>
    <s v=""/>
    <s v=""/>
    <s v=""/>
  </r>
  <r>
    <n v="764539"/>
    <x v="1"/>
    <s v=""/>
    <x v="0"/>
    <x v="2"/>
    <s v=""/>
    <x v="0"/>
    <s v=""/>
    <s v=""/>
    <s v=""/>
    <s v=""/>
    <s v=""/>
    <s v=""/>
    <s v=""/>
    <s v=""/>
    <s v=""/>
    <s v=""/>
  </r>
  <r>
    <n v="767192"/>
    <x v="1"/>
    <s v=""/>
    <x v="0"/>
    <x v="2"/>
    <s v=""/>
    <x v="0"/>
    <s v=""/>
    <s v=""/>
    <s v=""/>
    <s v=""/>
    <s v=""/>
    <s v=""/>
    <s v=""/>
    <s v=""/>
    <s v=""/>
    <s v=""/>
  </r>
  <r>
    <n v="773004"/>
    <x v="1"/>
    <s v=""/>
    <x v="0"/>
    <x v="2"/>
    <s v=""/>
    <x v="0"/>
    <s v=""/>
    <s v=""/>
    <s v=""/>
    <s v=""/>
    <s v=""/>
    <s v=""/>
    <s v=""/>
    <s v=""/>
    <s v=""/>
    <s v=""/>
  </r>
  <r>
    <n v="779470"/>
    <x v="1"/>
    <s v=""/>
    <x v="0"/>
    <x v="2"/>
    <s v=""/>
    <x v="0"/>
    <s v=""/>
    <s v=""/>
    <s v=""/>
    <s v=""/>
    <s v=""/>
    <s v=""/>
    <s v=""/>
    <s v=""/>
    <s v=""/>
    <s v=""/>
  </r>
  <r>
    <n v="811170"/>
    <x v="1"/>
    <s v=""/>
    <x v="0"/>
    <x v="2"/>
    <s v=""/>
    <x v="0"/>
    <s v=""/>
    <s v=""/>
    <s v=""/>
    <s v=""/>
    <s v=""/>
    <s v=""/>
    <s v=""/>
    <s v=""/>
    <s v=""/>
    <s v=""/>
  </r>
  <r>
    <n v="834545"/>
    <x v="1"/>
    <s v=""/>
    <x v="0"/>
    <x v="2"/>
    <s v=""/>
    <x v="0"/>
    <s v=""/>
    <s v=""/>
    <s v=""/>
    <s v=""/>
    <s v=""/>
    <s v=""/>
    <s v=""/>
    <s v=""/>
    <s v=""/>
    <s v=""/>
  </r>
  <r>
    <n v="842248"/>
    <x v="1"/>
    <s v=""/>
    <x v="0"/>
    <x v="2"/>
    <s v=""/>
    <x v="0"/>
    <s v=""/>
    <s v=""/>
    <s v=""/>
    <s v=""/>
    <s v=""/>
    <s v=""/>
    <s v=""/>
    <s v=""/>
    <s v=""/>
    <s v=""/>
  </r>
  <r>
    <n v="875188"/>
    <x v="1"/>
    <s v=""/>
    <x v="0"/>
    <x v="2"/>
    <s v=""/>
    <x v="0"/>
    <s v=""/>
    <s v=""/>
    <s v=""/>
    <s v=""/>
    <s v=""/>
    <s v=""/>
    <s v=""/>
    <s v=""/>
    <s v=""/>
    <s v=""/>
  </r>
  <r>
    <n v="876742"/>
    <x v="1"/>
    <s v=""/>
    <x v="0"/>
    <x v="2"/>
    <s v=""/>
    <x v="0"/>
    <s v=""/>
    <s v=""/>
    <s v=""/>
    <s v=""/>
    <s v=""/>
    <s v=""/>
    <s v=""/>
    <s v=""/>
    <s v=""/>
    <s v=""/>
  </r>
  <r>
    <n v="902990"/>
    <x v="1"/>
    <s v=""/>
    <x v="0"/>
    <x v="2"/>
    <s v=""/>
    <x v="0"/>
    <s v=""/>
    <s v=""/>
    <s v=""/>
    <s v=""/>
    <s v=""/>
    <s v=""/>
    <s v=""/>
    <s v=""/>
    <s v=""/>
    <s v=""/>
  </r>
  <r>
    <n v="921109"/>
    <x v="1"/>
    <s v=""/>
    <x v="0"/>
    <x v="2"/>
    <s v=""/>
    <x v="0"/>
    <s v=""/>
    <s v=""/>
    <s v=""/>
    <s v=""/>
    <s v=""/>
    <s v=""/>
    <s v=""/>
    <s v=""/>
    <s v=""/>
    <s v=""/>
  </r>
  <r>
    <n v="922359"/>
    <x v="1"/>
    <s v=""/>
    <x v="0"/>
    <x v="2"/>
    <s v=""/>
    <x v="0"/>
    <s v=""/>
    <s v=""/>
    <s v=""/>
    <s v=""/>
    <s v=""/>
    <s v=""/>
    <s v=""/>
    <s v=""/>
    <s v=""/>
    <s v=""/>
  </r>
  <r>
    <n v="946862"/>
    <x v="1"/>
    <s v=""/>
    <x v="0"/>
    <x v="2"/>
    <s v=""/>
    <x v="0"/>
    <s v=""/>
    <s v=""/>
    <s v=""/>
    <s v=""/>
    <s v=""/>
    <s v=""/>
    <s v=""/>
    <s v=""/>
    <s v=""/>
    <s v=""/>
  </r>
  <r>
    <n v="960093"/>
    <x v="1"/>
    <s v=""/>
    <x v="0"/>
    <x v="3"/>
    <s v=""/>
    <x v="0"/>
    <s v=""/>
    <s v=""/>
    <s v=""/>
    <s v=""/>
    <s v=""/>
    <s v=""/>
    <s v=""/>
    <s v=""/>
    <s v=""/>
    <s v=""/>
  </r>
  <r>
    <n v="993084"/>
    <x v="1"/>
    <s v=""/>
    <x v="0"/>
    <x v="2"/>
    <s v=""/>
    <x v="0"/>
    <s v=""/>
    <s v=""/>
    <s v=""/>
    <s v=""/>
    <s v=""/>
    <s v=""/>
    <s v=""/>
    <s v=""/>
    <s v=""/>
    <s v=""/>
  </r>
  <r>
    <n v="4000"/>
    <x v="2"/>
    <d v="2025-01-09T00:00:00"/>
    <x v="0"/>
    <x v="4"/>
    <n v="30"/>
    <x v="1"/>
    <s v="MP"/>
    <n v="1.3433999999999999"/>
    <n v="19.54666666666667"/>
    <n v="3.7499999999999999E-2"/>
    <n v="0.186"/>
    <n v="49.235609999999987"/>
    <n v="2.1360000000000001"/>
    <n v="1.4039999999999999"/>
    <n v="0.73299999999999998"/>
    <n v="0.54700000000000004"/>
  </r>
  <r>
    <n v="4001"/>
    <x v="2"/>
    <d v="2025-01-09T00:00:00"/>
    <x v="0"/>
    <x v="4"/>
    <n v="30"/>
    <x v="2"/>
    <s v="MP"/>
    <n v="1.3016000000000001"/>
    <n v="26.175999999999998"/>
    <n v="3.125E-2"/>
    <n v="0.217"/>
    <n v="53.23543999999999"/>
    <n v="2.3940000000000001"/>
    <n v="1.5760000000000001"/>
    <n v="0.81799999999999995"/>
    <n v="0.60099999999999998"/>
  </r>
  <r>
    <n v="4002"/>
    <x v="2"/>
    <d v="2025-01-09T00:00:00"/>
    <x v="0"/>
    <x v="4"/>
    <n v="30"/>
    <x v="2"/>
    <s v="MP"/>
    <n v="0"/>
    <n v="61.673999999999999"/>
    <n v="3.7999999999999999E-2"/>
    <n v="0.23200000000000001"/>
    <n v="0"/>
    <n v="2.3460000000000001"/>
    <n v="1.53"/>
    <n v="0.81599999999999995"/>
    <n v="0.58299999999999996"/>
  </r>
  <r>
    <n v="4003"/>
    <x v="2"/>
    <d v="2025-01-09T00:00:00"/>
    <x v="0"/>
    <x v="4"/>
    <n v="30"/>
    <x v="2"/>
    <s v="MP"/>
    <n v="1.27"/>
    <n v="70.788700000000006"/>
    <n v="3.3000000000000002E-2"/>
    <n v="0.21"/>
    <n v="46.228000000000002"/>
    <n v="2.3660000000000001"/>
    <n v="1.637"/>
    <n v="0.72799999999999998"/>
    <n v="0.51900000000000002"/>
  </r>
  <r>
    <n v="4004"/>
    <x v="2"/>
    <d v="2025-01-09T00:00:00"/>
    <x v="0"/>
    <x v="4"/>
    <n v="30"/>
    <x v="2"/>
    <s v="MP"/>
    <n v="1.02"/>
    <n v="18.84615384615385"/>
    <n v="3.9E-2"/>
    <n v="0.24299999999999999"/>
    <n v="37.484999999999999"/>
    <n v="2.0680000000000001"/>
    <n v="1.333"/>
    <n v="0.73499999999999999"/>
    <n v="0.49299999999999999"/>
  </r>
  <r>
    <n v="4005"/>
    <x v="2"/>
    <d v="2025-01-09T00:00:00"/>
    <x v="0"/>
    <x v="4"/>
    <n v="30"/>
    <x v="2"/>
    <s v="MP"/>
    <n v="1.19"/>
    <n v="20.79326923076923"/>
    <n v="4.1600000000000012E-2"/>
    <n v="0.29599999999999999"/>
    <n v="51.467500000000001"/>
    <n v="2.198"/>
    <n v="1.333"/>
    <n v="0.86499999999999999"/>
    <n v="0.56899999999999995"/>
  </r>
  <r>
    <n v="4006"/>
    <x v="2"/>
    <d v="2025-01-09T00:00:00"/>
    <x v="0"/>
    <x v="4"/>
    <n v="30"/>
    <x v="2"/>
    <s v="MP"/>
    <n v="1.1599999999999999"/>
    <n v="19.520202020202021"/>
    <n v="3.9600000000000003E-2"/>
    <n v="0.20100000000000001"/>
    <n v="44.834000000000003"/>
    <n v="2.673"/>
    <n v="1.9"/>
    <n v="0.77300000000000002"/>
    <n v="0.57199999999999995"/>
  </r>
  <r>
    <n v="4007"/>
    <x v="2"/>
    <d v="2025-01-09T00:00:00"/>
    <x v="0"/>
    <x v="4"/>
    <n v="30"/>
    <x v="2"/>
    <s v="MP"/>
    <n v="1.2"/>
    <n v="20.555555555555561"/>
    <n v="3.5999999999999997E-2"/>
    <n v="0.192"/>
    <n v="44.4"/>
    <n v="2.63"/>
    <n v="1.89"/>
    <n v="0.74"/>
    <n v="0.54800000000000004"/>
  </r>
  <r>
    <n v="4008"/>
    <x v="2"/>
    <d v="2025-01-09T00:00:00"/>
    <x v="0"/>
    <x v="4"/>
    <n v="30"/>
    <x v="1"/>
    <s v="MP"/>
    <n v="0.89"/>
    <n v="59.646500000000003"/>
    <n v="0.05"/>
    <n v="0.23400000000000001"/>
    <n v="41.340499999999999"/>
    <n v="2.9620000000000002"/>
    <n v="2.0329999999999999"/>
    <n v="0.92900000000000005"/>
    <n v="0.69499999999999995"/>
  </r>
  <r>
    <n v="4009"/>
    <x v="2"/>
    <d v="2025-01-09T00:00:00"/>
    <x v="0"/>
    <x v="4"/>
    <n v="30"/>
    <x v="2"/>
    <s v="MP"/>
    <n v="0.97"/>
    <n v="57.435600000000001"/>
    <n v="4.3999999999999997E-2"/>
    <n v="0.29299999999999998"/>
    <n v="44.474500000000013"/>
    <n v="2.532"/>
    <n v="1.615"/>
    <n v="0.91700000000000004"/>
    <n v="0.623"/>
  </r>
  <r>
    <n v="4010"/>
    <x v="2"/>
    <d v="2025-01-09T00:00:00"/>
    <x v="0"/>
    <x v="4"/>
    <n v="30"/>
    <x v="2"/>
    <s v="MP"/>
    <n v="1.1200000000000001"/>
    <n v="60.737099999999998"/>
    <n v="4.1000000000000002E-2"/>
    <n v="0.22"/>
    <n v="47.040000000000013"/>
    <n v="2.4660000000000002"/>
    <n v="1.627"/>
    <n v="0.84"/>
    <n v="0.62"/>
  </r>
  <r>
    <n v="4011"/>
    <x v="2"/>
    <d v="2025-01-09T00:00:00"/>
    <x v="0"/>
    <x v="4"/>
    <n v="30"/>
    <x v="2"/>
    <s v="MP"/>
    <n v="1.42"/>
    <n v="20.50595238095238"/>
    <n v="3.3599999999999998E-2"/>
    <n v="0.188"/>
    <n v="48.91899999999999"/>
    <n v="2.4780000000000002"/>
    <n v="1.7889999999999999"/>
    <n v="0.68899999999999995"/>
    <n v="0.501"/>
  </r>
  <r>
    <n v="4012"/>
    <x v="2"/>
    <d v="2025-01-09T00:00:00"/>
    <x v="0"/>
    <x v="4"/>
    <n v="30"/>
    <x v="2"/>
    <s v="MP"/>
    <n v="1.0667"/>
    <n v="20.662068965517239"/>
    <n v="3.6249999999999998E-2"/>
    <n v="0.20200000000000001"/>
    <n v="39.947915000000002"/>
    <n v="2.2120000000000002"/>
    <n v="1.4630000000000001"/>
    <n v="0.749"/>
    <n v="0.54800000000000004"/>
  </r>
  <r>
    <n v="4013"/>
    <x v="2"/>
    <d v="2025-01-09T00:00:00"/>
    <x v="0"/>
    <x v="4"/>
    <n v="30"/>
    <x v="2"/>
    <s v="MP"/>
    <n v="1.0146999999999999"/>
    <n v="20.025806451612901"/>
    <n v="3.875E-2"/>
    <n v="0.23100000000000001"/>
    <n v="39.370360000000012"/>
    <n v="2.2410000000000001"/>
    <n v="1.4650000000000001"/>
    <n v="0.77600000000000002"/>
    <n v="0.54600000000000004"/>
  </r>
  <r>
    <n v="4014"/>
    <x v="2"/>
    <d v="2025-01-09T00:00:00"/>
    <x v="0"/>
    <x v="4"/>
    <n v="30"/>
    <x v="1"/>
    <s v="MP"/>
    <n v="1.2393000000000001"/>
    <n v="19.813333333333329"/>
    <n v="3.7499999999999999E-2"/>
    <n v="0.20300000000000001"/>
    <n v="46.039994999999998"/>
    <n v="2.1760000000000002"/>
    <n v="1.4330000000000001"/>
    <n v="0.74299999999999999"/>
    <n v="0.54"/>
  </r>
  <r>
    <n v="4015"/>
    <x v="2"/>
    <d v="2025-01-09T00:00:00"/>
    <x v="0"/>
    <x v="4"/>
    <n v="30"/>
    <x v="2"/>
    <s v="MP"/>
    <n v="1.04"/>
    <n v="21.32867132867133"/>
    <n v="2.86E-2"/>
    <n v="0.17699999999999999"/>
    <n v="31.72"/>
    <n v="1.9"/>
    <n v="1.29"/>
    <n v="0.61"/>
    <n v="0.433"/>
  </r>
  <r>
    <n v="4016"/>
    <x v="2"/>
    <d v="2025-01-09T00:00:00"/>
    <x v="0"/>
    <x v="4"/>
    <n v="30"/>
    <x v="1"/>
    <s v="MP"/>
    <n v="0.89"/>
    <n v="58.629899999999999"/>
    <n v="4.2999999999999997E-2"/>
    <n v="0.29299999999999998"/>
    <n v="45.567999999999998"/>
    <n v="2.54"/>
    <n v="1.516"/>
    <n v="1.024"/>
    <n v="0.73099999999999998"/>
  </r>
  <r>
    <n v="4017"/>
    <x v="2"/>
    <d v="2025-01-09T00:00:00"/>
    <x v="0"/>
    <x v="4"/>
    <n v="30"/>
    <x v="2"/>
    <s v="MP"/>
    <n v="1.4"/>
    <n v="51.653700000000001"/>
    <n v="0.05"/>
    <n v="0.217"/>
    <n v="63.349999999999987"/>
    <n v="2.605"/>
    <n v="1.7010000000000001"/>
    <n v="0.90500000000000003"/>
    <n v="0.68799999999999994"/>
  </r>
  <r>
    <n v="4018"/>
    <x v="2"/>
    <d v="2025-01-09T00:00:00"/>
    <x v="0"/>
    <x v="4"/>
    <n v="30"/>
    <x v="1"/>
    <s v="MP"/>
    <n v="1.2287999999999999"/>
    <n v="16.174545454545459"/>
    <n v="6.8750000000000006E-2"/>
    <n v="0.317"/>
    <n v="68.321280000000002"/>
    <n v="2.379"/>
    <n v="1.2669999999999999"/>
    <n v="1.1120000000000001"/>
    <n v="0.79500000000000004"/>
  </r>
  <r>
    <n v="4019"/>
    <x v="2"/>
    <d v="2025-01-09T00:00:00"/>
    <x v="0"/>
    <x v="4"/>
    <n v="30"/>
    <x v="1"/>
    <s v="MP"/>
    <n v="1.1739999999999999"/>
    <n v="11.510679611650479"/>
    <n v="0.12875"/>
    <n v="0.32600000000000001"/>
    <n v="86.993400000000008"/>
    <n v="2.7559999999999998"/>
    <n v="1.2729999999999999"/>
    <n v="1.482"/>
    <n v="1.1559999999999999"/>
  </r>
  <r>
    <n v="4020"/>
    <x v="2"/>
    <d v="2025-01-09T00:00:00"/>
    <x v="0"/>
    <x v="4"/>
    <n v="30"/>
    <x v="2"/>
    <s v="MP"/>
    <n v="1.47"/>
    <n v="27.791666666666671"/>
    <n v="2.4E-2"/>
    <n v="0.18"/>
    <n v="49.024500000000003"/>
    <n v="1.966"/>
    <n v="1.2989999999999999"/>
    <n v="0.66700000000000004"/>
    <n v="0.48699999999999999"/>
  </r>
  <r>
    <n v="4021"/>
    <x v="2"/>
    <d v="2025-01-09T00:00:00"/>
    <x v="0"/>
    <x v="4"/>
    <n v="30"/>
    <x v="1"/>
    <s v="MP"/>
    <n v="1.22"/>
    <n v="73.331500000000005"/>
    <n v="5.3999999999999999E-2"/>
    <n v="0.24399999999999999"/>
    <n v="59.047999999999988"/>
    <n v="3.97"/>
    <n v="3.0019999999999998"/>
    <n v="0.96799999999999997"/>
    <n v="0.72399999999999998"/>
  </r>
  <r>
    <n v="4022"/>
    <x v="2"/>
    <d v="2025-01-09T00:00:00"/>
    <x v="0"/>
    <x v="4"/>
    <n v="30"/>
    <x v="1"/>
    <s v="MP"/>
    <n v="1.1599999999999999"/>
    <n v="60.2089"/>
    <n v="4.2999999999999997E-2"/>
    <n v="0.221"/>
    <n v="49.822000000000003"/>
    <n v="2.58"/>
    <n v="1.7210000000000001"/>
    <n v="0.85899999999999999"/>
    <n v="0.63800000000000001"/>
  </r>
  <r>
    <n v="4088"/>
    <x v="3"/>
    <d v="2025-01-09T00:00:00"/>
    <x v="0"/>
    <x v="2"/>
    <n v="30"/>
    <x v="2"/>
    <s v="MP"/>
    <n v="0.94"/>
    <n v="64.2483"/>
    <n v="2.4E-2"/>
    <n v="0.20300000000000001"/>
    <n v="43.098999999999997"/>
    <n v="1.5509999999999999"/>
    <n v="0.63400000000000001"/>
    <n v="0.91700000000000004"/>
    <n v="0.43099999999999999"/>
  </r>
  <r>
    <n v="4089"/>
    <x v="3"/>
    <d v="2025-01-09T00:00:00"/>
    <x v="0"/>
    <x v="2"/>
    <n v="30"/>
    <x v="2"/>
    <s v="MP"/>
    <n v="1.24"/>
    <n v="65.577299999999994"/>
    <n v="2.1000000000000001E-2"/>
    <n v="0.151"/>
    <n v="52.452000000000012"/>
    <n v="1.3740000000000001"/>
    <n v="0.52700000000000002"/>
    <n v="0.84599999999999997"/>
    <n v="0.377"/>
  </r>
  <r>
    <n v="4090"/>
    <x v="3"/>
    <d v="2025-01-09T00:00:00"/>
    <x v="0"/>
    <x v="2"/>
    <n v="30"/>
    <x v="2"/>
    <s v="MP"/>
    <n v="1.29"/>
    <n v="97.880099999999999"/>
    <n v="0.02"/>
    <n v="0.20200000000000001"/>
    <n v="81.27"/>
    <n v="1.9239999999999999"/>
    <n v="0.66400000000000003"/>
    <n v="1.26"/>
    <n v="0.46200000000000002"/>
  </r>
  <r>
    <n v="4091"/>
    <x v="3"/>
    <d v="2025-01-09T00:00:00"/>
    <x v="0"/>
    <x v="2"/>
    <n v="30"/>
    <x v="2"/>
    <s v="MP"/>
    <n v="1.1200000000000001"/>
    <n v="50.564300000000003"/>
    <n v="3.5999999999999997E-2"/>
    <n v="0.318"/>
    <n v="51.295999999999999"/>
    <n v="1.81"/>
    <n v="0.89500000000000002"/>
    <n v="0.91600000000000004"/>
    <n v="0.57699999999999996"/>
  </r>
  <r>
    <n v="4092"/>
    <x v="3"/>
    <d v="2025-01-09T00:00:00"/>
    <x v="0"/>
    <x v="2"/>
    <n v="30"/>
    <x v="2"/>
    <s v="MP"/>
    <n v="1.28"/>
    <n v="41.655900000000003"/>
    <n v="3.2000000000000001E-2"/>
    <n v="0.188"/>
    <n v="41.408000000000001"/>
    <n v="1.3380000000000001"/>
    <n v="0.69199999999999995"/>
    <n v="0.64700000000000002"/>
    <n v="0.504"/>
  </r>
  <r>
    <n v="4093"/>
    <x v="3"/>
    <d v="2025-01-09T00:00:00"/>
    <x v="0"/>
    <x v="5"/>
    <n v="30"/>
    <x v="2"/>
    <s v="MP"/>
    <n v="1.23"/>
    <n v="62.226500000000001"/>
    <n v="2.3E-2"/>
    <n v="0.16900000000000001"/>
    <n v="55.472999999999999"/>
    <n v="1.4419999999999999"/>
    <n v="0.54"/>
    <n v="0.90200000000000002"/>
    <n v="0.371"/>
  </r>
  <r>
    <n v="4094"/>
    <x v="3"/>
    <d v="2025-01-09T00:00:00"/>
    <x v="0"/>
    <x v="5"/>
    <n v="30"/>
    <x v="2"/>
    <s v="MP"/>
    <n v="1.69"/>
    <n v="48.022300000000001"/>
    <n v="2.8000000000000001E-2"/>
    <n v="0.126"/>
    <n v="71.740499999999997"/>
    <n v="1.36"/>
    <n v="0.51100000000000001"/>
    <n v="0.84899999999999998"/>
    <n v="0.38500000000000001"/>
  </r>
  <r>
    <n v="4095"/>
    <x v="3"/>
    <d v="2025-01-09T00:00:00"/>
    <x v="0"/>
    <x v="5"/>
    <n v="30"/>
    <x v="1"/>
    <s v="MP"/>
    <n v="1.61"/>
    <n v="57.470399999999998"/>
    <n v="2.5999999999999999E-2"/>
    <n v="0.16900000000000001"/>
    <n v="71.967000000000013"/>
    <n v="1.498"/>
    <n v="0.60499999999999998"/>
    <n v="0.89400000000000002"/>
    <n v="0.436"/>
  </r>
  <r>
    <n v="4096"/>
    <x v="3"/>
    <d v="2025-01-09T00:00:00"/>
    <x v="0"/>
    <x v="2"/>
    <n v="30"/>
    <x v="2"/>
    <s v="MP"/>
    <n v="1.0900000000000001"/>
    <n v="38.953200000000002"/>
    <n v="4.8000000000000001E-2"/>
    <n v="0.182"/>
    <n v="53.301000000000009"/>
    <n v="1.853"/>
    <n v="0.875"/>
    <n v="0.97799999999999998"/>
    <n v="0.69299999999999995"/>
  </r>
  <r>
    <n v="4097"/>
    <x v="3"/>
    <d v="2025-01-09T00:00:00"/>
    <x v="0"/>
    <x v="2"/>
    <n v="30"/>
    <x v="2"/>
    <s v="MP"/>
    <n v="1.02"/>
    <n v="57.729100000000003"/>
    <n v="0.03"/>
    <n v="0.216"/>
    <n v="54.314999999999998"/>
    <n v="1.7210000000000001"/>
    <n v="0.65600000000000003"/>
    <n v="1.0649999999999999"/>
    <n v="0.44"/>
  </r>
  <r>
    <n v="4098"/>
    <x v="3"/>
    <d v="2025-01-09T00:00:00"/>
    <x v="0"/>
    <x v="2"/>
    <n v="30"/>
    <x v="2"/>
    <s v="MP"/>
    <n v="1.55"/>
    <n v="51.276499999999999"/>
    <n v="3.1E-2"/>
    <n v="0.21199999999999999"/>
    <n v="66.262500000000003"/>
    <n v="1.61"/>
    <n v="0.754"/>
    <n v="0.85499999999999998"/>
    <n v="0.54300000000000004"/>
  </r>
  <r>
    <n v="4099"/>
    <x v="3"/>
    <d v="2025-01-09T00:00:00"/>
    <x v="0"/>
    <x v="2"/>
    <n v="30"/>
    <x v="2"/>
    <s v="MP"/>
    <n v="1.51"/>
    <n v="38.141800000000003"/>
    <n v="2.5000000000000001E-2"/>
    <n v="0.13900000000000001"/>
    <n v="35.258500000000012"/>
    <n v="0.96499999999999997"/>
    <n v="0.497"/>
    <n v="0.46700000000000003"/>
    <n v="0.35799999999999998"/>
  </r>
  <r>
    <n v="4100"/>
    <x v="3"/>
    <d v="2025-01-09T00:00:00"/>
    <x v="0"/>
    <x v="2"/>
    <n v="30"/>
    <x v="2"/>
    <s v="MP"/>
    <n v="1.2"/>
    <n v="41.279800000000002"/>
    <n v="2.8000000000000001E-2"/>
    <n v="0.151"/>
    <n v="38.1"/>
    <n v="1.1519999999999999"/>
    <n v="0.51700000000000002"/>
    <n v="0.63500000000000001"/>
    <n v="0.36599999999999999"/>
  </r>
  <r>
    <n v="4101"/>
    <x v="3"/>
    <d v="2025-01-09T00:00:00"/>
    <x v="0"/>
    <x v="5"/>
    <n v="30"/>
    <x v="2"/>
    <s v="MP"/>
    <n v="1.23"/>
    <n v="42.767899999999997"/>
    <n v="3.4000000000000002E-2"/>
    <n v="0.186"/>
    <n v="47.846999999999987"/>
    <n v="1.46"/>
    <n v="0.68200000000000005"/>
    <n v="0.77800000000000002"/>
    <n v="0.496"/>
  </r>
  <r>
    <n v="4102"/>
    <x v="3"/>
    <d v="2025-01-09T00:00:00"/>
    <x v="0"/>
    <x v="2"/>
    <n v="30"/>
    <x v="2"/>
    <s v="MP"/>
    <n v="1.22"/>
    <n v="39.280200000000001"/>
    <n v="2.5999999999999999E-2"/>
    <n v="0.16700000000000001"/>
    <n v="28.791999999999991"/>
    <n v="1.034"/>
    <n v="0.56200000000000006"/>
    <n v="0.47199999999999998"/>
    <n v="0.39500000000000002"/>
  </r>
  <r>
    <n v="4103"/>
    <x v="3"/>
    <d v="2025-01-09T00:00:00"/>
    <x v="0"/>
    <x v="5"/>
    <n v="30"/>
    <x v="2"/>
    <s v="MP"/>
    <n v="1.42"/>
    <n v="59.915300000000002"/>
    <n v="2.5999999999999999E-2"/>
    <n v="0.191"/>
    <n v="64.254999999999995"/>
    <n v="1.5349999999999999"/>
    <n v="0.63"/>
    <n v="0.90500000000000003"/>
    <n v="0.439"/>
  </r>
  <r>
    <n v="4104"/>
    <x v="3"/>
    <d v="2025-01-09T00:00:00"/>
    <x v="0"/>
    <x v="2"/>
    <n v="30"/>
    <x v="2"/>
    <s v="MP"/>
    <n v="1.5"/>
    <n v="61.094000000000001"/>
    <n v="2.9000000000000001E-2"/>
    <n v="0.17899999999999999"/>
    <n v="82.95"/>
    <n v="1.76"/>
    <n v="0.65300000000000002"/>
    <n v="1.1060000000000001"/>
    <n v="0.47499999999999998"/>
  </r>
  <r>
    <n v="4105"/>
    <x v="3"/>
    <d v="2025-01-09T00:00:00"/>
    <x v="0"/>
    <x v="2"/>
    <n v="30"/>
    <x v="1"/>
    <s v="MP"/>
    <n v="1.27"/>
    <n v="45.724600000000002"/>
    <n v="2.9000000000000001E-2"/>
    <n v="0.14799999999999999"/>
    <n v="49.149000000000001"/>
    <n v="1.3260000000000001"/>
    <n v="0.55200000000000005"/>
    <n v="0.77400000000000002"/>
    <n v="0.40400000000000003"/>
  </r>
  <r>
    <n v="4106"/>
    <x v="3"/>
    <d v="2025-01-09T00:00:00"/>
    <x v="0"/>
    <x v="2"/>
    <n v="30"/>
    <x v="2"/>
    <s v="MP"/>
    <n v="1.02"/>
    <n v="68.774600000000007"/>
    <n v="2.5000000000000001E-2"/>
    <n v="0.186"/>
    <n v="56.865000000000002"/>
    <n v="1.716"/>
    <n v="0.60199999999999998"/>
    <n v="1.115"/>
    <n v="0.41599999999999998"/>
  </r>
  <r>
    <n v="4107"/>
    <x v="3"/>
    <d v="2025-01-09T00:00:00"/>
    <x v="0"/>
    <x v="5"/>
    <n v="30"/>
    <x v="1"/>
    <s v="MP"/>
    <n v="0.78"/>
    <n v="50.550899999999999"/>
    <n v="3.2000000000000001E-2"/>
    <n v="0.20699999999999999"/>
    <n v="34.749000000000002"/>
    <n v="1.62"/>
    <n v="0.72899999999999998"/>
    <n v="0.89100000000000001"/>
    <n v="0.52200000000000002"/>
  </r>
  <r>
    <n v="4108"/>
    <x v="3"/>
    <d v="2025-01-09T00:00:00"/>
    <x v="0"/>
    <x v="2"/>
    <n v="30"/>
    <x v="2"/>
    <s v="MP"/>
    <n v="0.97"/>
    <n v="63.2301"/>
    <n v="2.5999999999999999E-2"/>
    <n v="0.20399999999999999"/>
    <n v="48.354500000000002"/>
    <n v="1.675"/>
    <n v="0.67700000000000005"/>
    <n v="0.997"/>
    <n v="0.47299999999999998"/>
  </r>
  <r>
    <n v="4109"/>
    <x v="3"/>
    <d v="2025-01-09T00:00:00"/>
    <x v="0"/>
    <x v="2"/>
    <n v="30"/>
    <x v="1"/>
    <s v="MP"/>
    <n v="1.1100000000000001"/>
    <n v="47.072600000000001"/>
    <n v="3.4000000000000002E-2"/>
    <n v="0.23799999999999999"/>
    <n v="44.067000000000007"/>
    <n v="1.599"/>
    <n v="0.80400000000000005"/>
    <n v="0.79400000000000004"/>
    <n v="0.56599999999999995"/>
  </r>
  <r>
    <n v="4110"/>
    <x v="3"/>
    <d v="2025-01-09T00:00:00"/>
    <x v="1"/>
    <x v="2"/>
    <n v="30"/>
    <x v="2"/>
    <s v="MP"/>
    <n v="1.37"/>
    <n v="74.853399999999993"/>
    <n v="0.02"/>
    <n v="0.16400000000000001"/>
    <n v="64.39"/>
    <n v="1.4910000000000001"/>
    <n v="0.55100000000000005"/>
    <n v="0.94"/>
    <n v="0.38700000000000001"/>
  </r>
  <r>
    <n v="4111"/>
    <x v="3"/>
    <d v="2025-01-09T00:00:00"/>
    <x v="1"/>
    <x v="5"/>
    <n v="30"/>
    <x v="3"/>
    <s v="MP"/>
    <n v="1.33"/>
    <n v="51.419600000000003"/>
    <n v="2.5999999999999999E-2"/>
    <n v="0.16600000000000001"/>
    <n v="49.741999999999997"/>
    <n v="1.347"/>
    <n v="0.6"/>
    <n v="0.748"/>
    <n v="0.433"/>
  </r>
  <r>
    <n v="4112"/>
    <x v="3"/>
    <d v="2025-01-09T00:00:00"/>
    <x v="1"/>
    <x v="2"/>
    <n v="30"/>
    <x v="3"/>
    <s v="MP"/>
    <n v="1.32"/>
    <n v="41.603299999999997"/>
    <n v="3.5000000000000003E-2"/>
    <n v="0.186"/>
    <n v="49.698"/>
    <n v="1.4670000000000001"/>
    <n v="0.71399999999999997"/>
    <n v="0.753"/>
    <n v="0.52800000000000002"/>
  </r>
  <r>
    <n v="4113"/>
    <x v="3"/>
    <d v="2025-01-09T00:00:00"/>
    <x v="1"/>
    <x v="2"/>
    <n v="30"/>
    <x v="3"/>
    <s v="MP"/>
    <n v="1.21"/>
    <n v="44.693199999999997"/>
    <n v="3.9E-2"/>
    <n v="0.246"/>
    <n v="50.215000000000003"/>
    <n v="1.7290000000000001"/>
    <n v="0.89800000000000002"/>
    <n v="0.83"/>
    <n v="0.65300000000000002"/>
  </r>
  <r>
    <n v="4114"/>
    <x v="3"/>
    <d v="2025-01-09T00:00:00"/>
    <x v="1"/>
    <x v="5"/>
    <n v="30"/>
    <x v="3"/>
    <s v="MP"/>
    <n v="1.21"/>
    <n v="38.857500000000002"/>
    <n v="3.3000000000000002E-2"/>
    <n v="0.14899999999999999"/>
    <n v="45.677500000000002"/>
    <n v="1.3"/>
    <n v="0.54500000000000004"/>
    <n v="0.755"/>
    <n v="0.39600000000000002"/>
  </r>
  <r>
    <n v="4115"/>
    <x v="3"/>
    <d v="2025-01-09T00:00:00"/>
    <x v="1"/>
    <x v="2"/>
    <n v="30"/>
    <x v="3"/>
    <s v="MP"/>
    <n v="1.1299999999999999"/>
    <n v="70.997100000000003"/>
    <n v="2.1000000000000001E-2"/>
    <n v="0.13900000000000001"/>
    <n v="56.725999999999999"/>
    <n v="1.476"/>
    <n v="0.47199999999999998"/>
    <n v="1.004"/>
    <n v="0.33300000000000002"/>
  </r>
  <r>
    <n v="4116"/>
    <x v="3"/>
    <d v="2025-01-09T00:00:00"/>
    <x v="1"/>
    <x v="2"/>
    <n v="30"/>
    <x v="3"/>
    <s v="MP"/>
    <n v="1.23"/>
    <n v="43.130400000000002"/>
    <n v="2.5999999999999999E-2"/>
    <n v="0.13"/>
    <n v="41.143500000000003"/>
    <n v="1.1379999999999999"/>
    <n v="0.46899999999999997"/>
    <n v="0.66900000000000004"/>
    <n v="0.33900000000000002"/>
  </r>
  <r>
    <n v="4117"/>
    <x v="3"/>
    <d v="2025-01-09T00:00:00"/>
    <x v="1"/>
    <x v="2"/>
    <n v="30"/>
    <x v="3"/>
    <s v="MP"/>
    <n v="1.46"/>
    <n v="50.533999999999999"/>
    <n v="3.1E-2"/>
    <n v="0.23699999999999999"/>
    <n v="59.859999999999992"/>
    <n v="1.554"/>
    <n v="0.73399999999999999"/>
    <n v="0.82"/>
    <n v="0.497"/>
  </r>
  <r>
    <n v="138391"/>
    <x v="3"/>
    <s v=""/>
    <x v="1"/>
    <x v="2"/>
    <s v=""/>
    <x v="0"/>
    <s v=""/>
    <s v=""/>
    <s v=""/>
    <s v=""/>
    <s v=""/>
    <s v=""/>
    <s v=""/>
    <s v=""/>
    <s v=""/>
    <s v=""/>
  </r>
  <r>
    <n v="321942"/>
    <x v="3"/>
    <s v=""/>
    <x v="1"/>
    <x v="2"/>
    <s v=""/>
    <x v="0"/>
    <s v=""/>
    <s v=""/>
    <s v=""/>
    <s v=""/>
    <s v=""/>
    <s v=""/>
    <s v=""/>
    <s v=""/>
    <s v=""/>
    <s v=""/>
  </r>
  <r>
    <n v="427610"/>
    <x v="3"/>
    <s v=""/>
    <x v="1"/>
    <x v="2"/>
    <s v=""/>
    <x v="0"/>
    <s v=""/>
    <s v=""/>
    <s v=""/>
    <s v=""/>
    <s v=""/>
    <s v=""/>
    <s v=""/>
    <s v=""/>
    <s v=""/>
    <s v=""/>
  </r>
  <r>
    <n v="509106"/>
    <x v="3"/>
    <s v=""/>
    <x v="1"/>
    <x v="2"/>
    <s v=""/>
    <x v="0"/>
    <s v=""/>
    <s v=""/>
    <s v=""/>
    <s v=""/>
    <s v=""/>
    <s v=""/>
    <s v=""/>
    <s v=""/>
    <s v=""/>
    <s v=""/>
  </r>
  <r>
    <n v="517029"/>
    <x v="3"/>
    <s v=""/>
    <x v="1"/>
    <x v="5"/>
    <s v=""/>
    <x v="0"/>
    <s v=""/>
    <s v=""/>
    <s v=""/>
    <s v=""/>
    <s v=""/>
    <s v=""/>
    <s v=""/>
    <s v=""/>
    <s v=""/>
    <s v=""/>
  </r>
  <r>
    <n v="551457"/>
    <x v="3"/>
    <s v=""/>
    <x v="1"/>
    <x v="2"/>
    <s v=""/>
    <x v="0"/>
    <s v=""/>
    <s v=""/>
    <s v=""/>
    <s v=""/>
    <s v=""/>
    <s v=""/>
    <s v=""/>
    <s v=""/>
    <s v=""/>
    <s v=""/>
  </r>
  <r>
    <n v="586664"/>
    <x v="3"/>
    <s v=""/>
    <x v="1"/>
    <x v="2"/>
    <s v=""/>
    <x v="0"/>
    <s v=""/>
    <s v=""/>
    <s v=""/>
    <s v=""/>
    <s v=""/>
    <s v=""/>
    <s v=""/>
    <s v=""/>
    <s v=""/>
    <s v=""/>
  </r>
  <r>
    <n v="591386"/>
    <x v="3"/>
    <s v=""/>
    <x v="1"/>
    <x v="2"/>
    <s v=""/>
    <x v="0"/>
    <s v=""/>
    <s v=""/>
    <s v=""/>
    <s v=""/>
    <s v=""/>
    <s v=""/>
    <s v=""/>
    <s v=""/>
    <s v=""/>
    <s v=""/>
  </r>
  <r>
    <n v="613425"/>
    <x v="3"/>
    <s v=""/>
    <x v="1"/>
    <x v="2"/>
    <s v=""/>
    <x v="0"/>
    <s v=""/>
    <s v=""/>
    <s v=""/>
    <s v=""/>
    <s v=""/>
    <s v=""/>
    <s v=""/>
    <s v=""/>
    <s v=""/>
    <s v=""/>
  </r>
  <r>
    <n v="628203"/>
    <x v="3"/>
    <s v=""/>
    <x v="1"/>
    <x v="2"/>
    <s v=""/>
    <x v="0"/>
    <s v=""/>
    <s v=""/>
    <s v=""/>
    <s v=""/>
    <s v=""/>
    <s v=""/>
    <s v=""/>
    <s v=""/>
    <s v=""/>
    <s v=""/>
  </r>
  <r>
    <n v="672306"/>
    <x v="3"/>
    <s v=""/>
    <x v="1"/>
    <x v="2"/>
    <s v=""/>
    <x v="0"/>
    <s v=""/>
    <s v=""/>
    <s v=""/>
    <s v=""/>
    <s v=""/>
    <s v=""/>
    <s v=""/>
    <s v=""/>
    <s v=""/>
    <s v=""/>
  </r>
  <r>
    <n v="750719"/>
    <x v="3"/>
    <s v=""/>
    <x v="1"/>
    <x v="2"/>
    <s v=""/>
    <x v="0"/>
    <s v=""/>
    <s v=""/>
    <s v=""/>
    <s v=""/>
    <s v=""/>
    <s v=""/>
    <s v=""/>
    <s v=""/>
    <s v=""/>
    <s v=""/>
  </r>
  <r>
    <n v="757310"/>
    <x v="3"/>
    <s v=""/>
    <x v="1"/>
    <x v="2"/>
    <s v=""/>
    <x v="0"/>
    <s v=""/>
    <s v=""/>
    <s v=""/>
    <s v=""/>
    <s v=""/>
    <s v=""/>
    <s v=""/>
    <s v=""/>
    <s v=""/>
    <s v=""/>
  </r>
  <r>
    <n v="777088"/>
    <x v="3"/>
    <s v=""/>
    <x v="1"/>
    <x v="2"/>
    <s v=""/>
    <x v="0"/>
    <s v=""/>
    <s v=""/>
    <s v=""/>
    <s v=""/>
    <s v=""/>
    <s v=""/>
    <s v=""/>
    <s v=""/>
    <s v=""/>
    <s v=""/>
  </r>
  <r>
    <n v="825714"/>
    <x v="3"/>
    <s v=""/>
    <x v="1"/>
    <x v="2"/>
    <s v=""/>
    <x v="0"/>
    <s v=""/>
    <s v=""/>
    <s v=""/>
    <s v=""/>
    <s v=""/>
    <s v=""/>
    <s v=""/>
    <s v=""/>
    <s v=""/>
    <s v=""/>
  </r>
  <r>
    <n v="844441"/>
    <x v="3"/>
    <s v=""/>
    <x v="1"/>
    <x v="2"/>
    <s v=""/>
    <x v="0"/>
    <s v=""/>
    <s v=""/>
    <s v=""/>
    <s v=""/>
    <s v=""/>
    <s v=""/>
    <s v=""/>
    <s v=""/>
    <s v=""/>
    <s v=""/>
  </r>
  <r>
    <n v="911335"/>
    <x v="3"/>
    <s v=""/>
    <x v="1"/>
    <x v="2"/>
    <s v=""/>
    <x v="0"/>
    <s v=""/>
    <s v=""/>
    <s v=""/>
    <s v=""/>
    <s v=""/>
    <s v=""/>
    <s v=""/>
    <s v=""/>
    <s v=""/>
    <s v=""/>
  </r>
  <r>
    <n v="934037"/>
    <x v="3"/>
    <s v=""/>
    <x v="1"/>
    <x v="2"/>
    <s v=""/>
    <x v="0"/>
    <s v=""/>
    <s v=""/>
    <s v=""/>
    <s v=""/>
    <s v=""/>
    <s v=""/>
    <s v=""/>
    <s v=""/>
    <s v=""/>
    <s v=""/>
  </r>
  <r>
    <n v="943329"/>
    <x v="3"/>
    <s v=""/>
    <x v="1"/>
    <x v="2"/>
    <s v=""/>
    <x v="4"/>
    <s v=""/>
    <s v=""/>
    <s v=""/>
    <s v=""/>
    <s v=""/>
    <s v=""/>
    <s v=""/>
    <s v=""/>
    <s v=""/>
    <s v=""/>
  </r>
  <r>
    <n v="950848"/>
    <x v="3"/>
    <s v=""/>
    <x v="1"/>
    <x v="5"/>
    <s v=""/>
    <x v="0"/>
    <s v=""/>
    <s v=""/>
    <s v=""/>
    <s v=""/>
    <s v=""/>
    <s v=""/>
    <s v=""/>
    <s v=""/>
    <s v=""/>
    <s v=""/>
  </r>
  <r>
    <n v="962196"/>
    <x v="3"/>
    <s v=""/>
    <x v="1"/>
    <x v="2"/>
    <s v=""/>
    <x v="0"/>
    <s v=""/>
    <s v=""/>
    <s v=""/>
    <s v=""/>
    <s v=""/>
    <s v=""/>
    <s v=""/>
    <s v=""/>
    <s v=""/>
    <s v=""/>
  </r>
  <r>
    <n v="992344"/>
    <x v="3"/>
    <s v=""/>
    <x v="1"/>
    <x v="2"/>
    <s v=""/>
    <x v="0"/>
    <s v=""/>
    <s v=""/>
    <s v=""/>
    <s v=""/>
    <s v=""/>
    <s v=""/>
    <s v=""/>
    <s v=""/>
    <s v=""/>
    <s v=""/>
  </r>
  <r>
    <n v="4023"/>
    <x v="4"/>
    <d v="2025-01-09T00:00:00"/>
    <x v="1"/>
    <x v="0"/>
    <n v="30"/>
    <x v="2"/>
    <s v="MP"/>
    <n v="1.79"/>
    <n v="15.63134978229318"/>
    <n v="6.8900000000000003E-2"/>
    <n v="0.30099999999999999"/>
    <n v="96.391499999999994"/>
    <n v="5.7560000000000002"/>
    <n v="4.6790000000000003"/>
    <n v="1.077"/>
    <n v="0.77600000000000002"/>
  </r>
  <r>
    <n v="4024"/>
    <x v="4"/>
    <d v="2025-01-09T00:00:00"/>
    <x v="1"/>
    <x v="0"/>
    <n v="30"/>
    <x v="2"/>
    <s v="MP"/>
    <n v="1.25"/>
    <n v="12.68412438625205"/>
    <n v="0.1222"/>
    <n v="0.6"/>
    <n v="96.875"/>
    <n v="7.08"/>
    <n v="5.53"/>
    <n v="1.55"/>
    <n v="0.95"/>
  </r>
  <r>
    <n v="4025"/>
    <x v="4"/>
    <d v="2025-01-09T00:00:00"/>
    <x v="1"/>
    <x v="0"/>
    <n v="30"/>
    <x v="2"/>
    <s v="MP"/>
    <n v="0.98"/>
    <n v="14.55310328008779"/>
    <n v="0.16402"/>
    <n v="0.81499999999999995"/>
    <n v="116.96299999999999"/>
    <n v="11.023"/>
    <n v="8.6370000000000005"/>
    <n v="2.387"/>
    <n v="1.5720000000000001"/>
  </r>
  <r>
    <n v="4026"/>
    <x v="4"/>
    <d v="2025-01-09T00:00:00"/>
    <x v="1"/>
    <x v="0"/>
    <n v="30"/>
    <x v="2"/>
    <s v="MP"/>
    <n v="1.21"/>
    <n v="21.76425269645609"/>
    <n v="7.7880000000000005E-2"/>
    <n v="0.73399999999999999"/>
    <n v="102.5475"/>
    <n v="8.3819999999999997"/>
    <n v="6.6870000000000003"/>
    <n v="1.6950000000000001"/>
    <n v="0.96099999999999997"/>
  </r>
  <r>
    <n v="4027"/>
    <x v="4"/>
    <d v="2025-01-09T00:00:00"/>
    <x v="1"/>
    <x v="0"/>
    <n v="30"/>
    <x v="2"/>
    <s v="MP"/>
    <n v="1.1499999999999999"/>
    <n v="12.15738284703802"/>
    <n v="0.11310000000000001"/>
    <n v="0.52800000000000002"/>
    <n v="79.0625"/>
    <n v="6.2889999999999997"/>
    <n v="4.915"/>
    <n v="1.375"/>
    <n v="0.84599999999999997"/>
  </r>
  <r>
    <n v="4028"/>
    <x v="4"/>
    <d v="2025-01-09T00:00:00"/>
    <x v="1"/>
    <x v="0"/>
    <n v="30"/>
    <x v="2"/>
    <s v="MP"/>
    <n v="1.05"/>
    <n v="11.82646091576018"/>
    <n v="0.15812000000000001"/>
    <n v="0.63800000000000001"/>
    <n v="98.174999999999997"/>
    <n v="8.8539999999999992"/>
    <n v="6.984"/>
    <n v="1.87"/>
    <n v="1.232"/>
  </r>
  <r>
    <n v="4029"/>
    <x v="4"/>
    <d v="2025-01-09T00:00:00"/>
    <x v="1"/>
    <x v="0"/>
    <n v="30"/>
    <x v="2"/>
    <s v="MP"/>
    <n v="1.26"/>
    <n v="11.070889894419309"/>
    <n v="0.1326"/>
    <n v="0.61499999999999999"/>
    <n v="92.484000000000009"/>
    <n v="6.71"/>
    <n v="5.242"/>
    <n v="1.468"/>
    <n v="0.85299999999999998"/>
  </r>
  <r>
    <n v="4030"/>
    <x v="4"/>
    <d v="2025-01-09T00:00:00"/>
    <x v="1"/>
    <x v="0"/>
    <n v="30"/>
    <x v="2"/>
    <s v="MP"/>
    <n v="0.92"/>
    <n v="14.33894230769231"/>
    <n v="8.320000000000001E-2"/>
    <n v="0.42599999999999999"/>
    <n v="54.878000000000007"/>
    <n v="6.2750000000000004"/>
    <n v="5.0830000000000002"/>
    <n v="1.1930000000000001"/>
    <n v="0.76600000000000001"/>
  </r>
  <r>
    <n v="4031"/>
    <x v="4"/>
    <d v="2025-01-09T00:00:00"/>
    <x v="1"/>
    <x v="0"/>
    <n v="30"/>
    <x v="2"/>
    <s v="MP"/>
    <n v="1.27"/>
    <n v="17.717121588089331"/>
    <n v="4.0300000000000002E-2"/>
    <n v="0.19400000000000001"/>
    <n v="45.338999999999999"/>
    <n v="3.3839999999999999"/>
    <n v="2.67"/>
    <n v="0.71399999999999997"/>
    <n v="0.52100000000000002"/>
  </r>
  <r>
    <n v="4032"/>
    <x v="4"/>
    <d v="2025-01-09T00:00:00"/>
    <x v="1"/>
    <x v="0"/>
    <n v="30"/>
    <x v="2"/>
    <s v="MP"/>
    <n v="1.19"/>
    <n v="19.792899408284029"/>
    <n v="3.3799999999999997E-2"/>
    <n v="0.2"/>
    <n v="39.805500000000002"/>
    <n v="3.306"/>
    <n v="2.6360000000000001"/>
    <n v="0.66900000000000004"/>
    <n v="0.47"/>
  </r>
  <r>
    <n v="4033"/>
    <x v="4"/>
    <d v="2025-01-09T00:00:00"/>
    <x v="1"/>
    <x v="0"/>
    <n v="30"/>
    <x v="1"/>
    <s v="MP"/>
    <n v="0.73"/>
    <n v="22.44755244755245"/>
    <n v="2.86E-2"/>
    <n v="0.185"/>
    <n v="23.433"/>
    <n v="3.3220000000000001"/>
    <n v="2.68"/>
    <n v="0.64200000000000002"/>
    <n v="0.45800000000000002"/>
  </r>
  <r>
    <n v="4034"/>
    <x v="4"/>
    <d v="2025-01-09T00:00:00"/>
    <x v="1"/>
    <x v="0"/>
    <n v="30"/>
    <x v="2"/>
    <s v="MP"/>
    <n v="1.43"/>
    <n v="14.048582995951421"/>
    <n v="7.4099999999999999E-2"/>
    <n v="0.33700000000000002"/>
    <n v="74.4315"/>
    <n v="5.86"/>
    <n v="4.819"/>
    <n v="1.0409999999999999"/>
    <n v="0.70399999999999996"/>
  </r>
  <r>
    <n v="4035"/>
    <x v="4"/>
    <d v="2025-01-09T00:00:00"/>
    <x v="1"/>
    <x v="0"/>
    <n v="30"/>
    <x v="1"/>
    <s v="MP"/>
    <n v="1.2"/>
    <n v="15.2991452991453"/>
    <n v="7.0199999999999999E-2"/>
    <n v="0.35899999999999999"/>
    <n v="64.44"/>
    <n v="6.4960000000000004"/>
    <n v="5.423"/>
    <n v="1.0740000000000001"/>
    <n v="0.71499999999999997"/>
  </r>
  <r>
    <n v="4036"/>
    <x v="4"/>
    <d v="2025-01-09T00:00:00"/>
    <x v="1"/>
    <x v="0"/>
    <n v="30"/>
    <x v="1"/>
    <s v="MP"/>
    <n v="0.85"/>
    <n v="18.10147299509002"/>
    <n v="6.1100000000000002E-2"/>
    <n v="0.36099999999999999"/>
    <n v="47.005000000000003"/>
    <n v="6.1449999999999996"/>
    <n v="5.0380000000000003"/>
    <n v="1.1060000000000001"/>
    <n v="0.746"/>
  </r>
  <r>
    <n v="4037"/>
    <x v="4"/>
    <d v="2025-01-09T00:00:00"/>
    <x v="1"/>
    <x v="0"/>
    <n v="30"/>
    <x v="1"/>
    <s v="MP"/>
    <n v="1.0900000000000001"/>
    <n v="16.836158192090402"/>
    <n v="8.8499999999999995E-2"/>
    <n v="0.53500000000000003"/>
    <n v="81.205000000000013"/>
    <n v="7.3760000000000003"/>
    <n v="5.8860000000000001"/>
    <n v="1.49"/>
    <n v="0.95599999999999996"/>
  </r>
  <r>
    <n v="4038"/>
    <x v="4"/>
    <d v="2025-01-09T00:00:00"/>
    <x v="1"/>
    <x v="0"/>
    <n v="30"/>
    <x v="1"/>
    <s v="MP"/>
    <n v="1.21"/>
    <n v="12.632066728452269"/>
    <n v="0.1079"/>
    <n v="0.51200000000000001"/>
    <n v="82.461500000000001"/>
    <n v="6.6219999999999999"/>
    <n v="5.2590000000000003"/>
    <n v="1.363"/>
    <n v="0.85099999999999998"/>
  </r>
  <r>
    <n v="4039"/>
    <x v="4"/>
    <d v="2025-01-09T00:00:00"/>
    <x v="1"/>
    <x v="0"/>
    <n v="30"/>
    <x v="2"/>
    <s v="MP"/>
    <n v="1.17"/>
    <n v="25.854700854700852"/>
    <n v="2.3400000000000001E-2"/>
    <n v="0.17399999999999999"/>
    <n v="35.392499999999998"/>
    <n v="3.2789999999999999"/>
    <n v="2.673"/>
    <n v="0.60499999999999998"/>
    <n v="0.43099999999999999"/>
  </r>
  <r>
    <n v="4040"/>
    <x v="4"/>
    <d v="2025-01-09T00:00:00"/>
    <x v="1"/>
    <x v="0"/>
    <n v="30"/>
    <x v="2"/>
    <s v="MP"/>
    <n v="1.42"/>
    <n v="14.61538461538461"/>
    <n v="5.1999999999999998E-2"/>
    <n v="0.223"/>
    <n v="53.959999999999987"/>
    <n v="5.9859999999999998"/>
    <n v="5.226"/>
    <n v="0.76"/>
    <n v="0.53700000000000003"/>
  </r>
  <r>
    <n v="4041"/>
    <x v="4"/>
    <d v="2025-01-09T00:00:00"/>
    <x v="1"/>
    <x v="0"/>
    <n v="30"/>
    <x v="1"/>
    <s v="MP"/>
    <n v="0.84"/>
    <n v="30.180995475113122"/>
    <n v="2.2100000000000002E-2"/>
    <n v="0.184"/>
    <n v="28.013999999999999"/>
    <n v="3.238"/>
    <n v="2.57"/>
    <n v="0.66700000000000004"/>
    <n v="0.48299999999999998"/>
  </r>
  <r>
    <n v="4042"/>
    <x v="4"/>
    <d v="2025-01-09T00:00:00"/>
    <x v="1"/>
    <x v="0"/>
    <n v="30"/>
    <x v="2"/>
    <s v="MP"/>
    <n v="1.08"/>
    <n v="10.07268322228952"/>
    <n v="0.1651"/>
    <n v="0.621"/>
    <n v="89.801999999999992"/>
    <n v="8.3710000000000004"/>
    <n v="6.7080000000000002"/>
    <n v="1.663"/>
    <n v="1.042"/>
  </r>
  <r>
    <n v="4043"/>
    <x v="4"/>
    <d v="2025-01-09T00:00:00"/>
    <x v="1"/>
    <x v="0"/>
    <n v="30"/>
    <x v="2"/>
    <s v="MP"/>
    <n v="1.41"/>
    <n v="11.95542774982027"/>
    <n v="0.1391"/>
    <n v="0.73799999999999999"/>
    <n v="117.2415"/>
    <n v="8.0139999999999993"/>
    <n v="6.351"/>
    <n v="1.663"/>
    <n v="0.92500000000000004"/>
  </r>
  <r>
    <n v="4044"/>
    <x v="4"/>
    <d v="2025-01-09T00:00:00"/>
    <x v="1"/>
    <x v="0"/>
    <n v="30"/>
    <x v="1"/>
    <s v="MP"/>
    <n v="1.1100000000000001"/>
    <n v="13.09235558630232"/>
    <n v="0.11564000000000001"/>
    <n v="0.52100000000000002"/>
    <n v="84.027000000000015"/>
    <n v="6.2030000000000003"/>
    <n v="4.6890000000000001"/>
    <n v="1.514"/>
    <n v="0.99299999999999999"/>
  </r>
  <r>
    <n v="4045"/>
    <x v="4"/>
    <d v="2025-01-09T00:00:00"/>
    <x v="1"/>
    <x v="0"/>
    <n v="30"/>
    <x v="2"/>
    <s v="MP"/>
    <n v="1.1299999999999999"/>
    <n v="32.538461538461533"/>
    <n v="2.5999999999999999E-2"/>
    <n v="0.23300000000000001"/>
    <n v="47.798999999999999"/>
    <n v="3.9319999999999999"/>
    <n v="3.0859999999999999"/>
    <n v="0.84599999999999997"/>
    <n v="0.61299999999999999"/>
  </r>
  <r>
    <n v="4046"/>
    <x v="4"/>
    <d v="2025-01-09T00:00:00"/>
    <x v="1"/>
    <x v="0"/>
    <n v="30"/>
    <x v="1"/>
    <s v="MP"/>
    <n v="0"/>
    <n v="12.11797677832644"/>
    <n v="0.14985999999999999"/>
    <n v="0.67300000000000004"/>
    <n v="0"/>
    <n v="8.0990000000000002"/>
    <n v="6.2830000000000004"/>
    <n v="1.8160000000000001"/>
    <n v="1.1439999999999999"/>
  </r>
  <r>
    <n v="4047"/>
    <x v="4"/>
    <d v="2025-01-09T00:00:00"/>
    <x v="1"/>
    <x v="0"/>
    <n v="30"/>
    <x v="1"/>
    <s v="MP"/>
    <n v="1.1299999999999999"/>
    <n v="10.925141242937849"/>
    <n v="0.1416"/>
    <n v="0.46800000000000003"/>
    <n v="87.405499999999989"/>
    <n v="7.0279999999999996"/>
    <n v="5.48"/>
    <n v="1.5469999999999999"/>
    <n v="1.079"/>
  </r>
  <r>
    <n v="4048"/>
    <x v="4"/>
    <d v="2025-01-09T00:00:00"/>
    <x v="1"/>
    <x v="0"/>
    <n v="30"/>
    <x v="2"/>
    <s v="MP"/>
    <n v="0.93"/>
    <n v="15.25274725274725"/>
    <n v="0.13650000000000001"/>
    <n v="0.747"/>
    <n v="96.813000000000002"/>
    <n v="8.9570000000000007"/>
    <n v="6.8760000000000003"/>
    <n v="2.0819999999999999"/>
    <n v="1.335"/>
  </r>
  <r>
    <n v="4049"/>
    <x v="4"/>
    <d v="2025-01-09T00:00:00"/>
    <x v="1"/>
    <x v="0"/>
    <n v="30"/>
    <x v="2"/>
    <s v="MP"/>
    <n v="1.21"/>
    <n v="11.960297766749379"/>
    <n v="8.0600000000000005E-2"/>
    <n v="0.40100000000000002"/>
    <n v="58.322000000000003"/>
    <n v="6.4039999999999999"/>
    <n v="5.44"/>
    <n v="0.96399999999999997"/>
    <n v="0.56299999999999994"/>
  </r>
  <r>
    <n v="4050"/>
    <x v="4"/>
    <d v="2025-01-09T00:00:00"/>
    <x v="1"/>
    <x v="0"/>
    <n v="30"/>
    <x v="2"/>
    <s v="MP"/>
    <n v="1.1399999999999999"/>
    <n v="17.822685788787481"/>
    <n v="7.6700000000000004E-2"/>
    <n v="0.39800000000000002"/>
    <n v="77.918999999999983"/>
    <n v="5.9109999999999996"/>
    <n v="4.5439999999999996"/>
    <n v="1.367"/>
    <n v="0.96899999999999997"/>
  </r>
  <r>
    <n v="4051"/>
    <x v="4"/>
    <d v="2025-01-09T00:00:00"/>
    <x v="1"/>
    <x v="0"/>
    <n v="30"/>
    <x v="2"/>
    <s v="MP"/>
    <n v="1.43"/>
    <n v="13.51458885941644"/>
    <n v="7.5400000000000009E-2"/>
    <n v="0.33400000000000002"/>
    <n v="72.858499999999992"/>
    <n v="6.0890000000000004"/>
    <n v="5.07"/>
    <n v="1.0189999999999999"/>
    <n v="0.68500000000000005"/>
  </r>
  <r>
    <n v="4052"/>
    <x v="4"/>
    <s v=""/>
    <x v="1"/>
    <x v="0"/>
    <s v=""/>
    <x v="0"/>
    <s v=""/>
    <s v=""/>
    <s v=""/>
    <s v=""/>
    <s v=""/>
    <s v=""/>
    <s v=""/>
    <s v=""/>
    <s v=""/>
    <s v=""/>
  </r>
  <r>
    <n v="4053"/>
    <x v="4"/>
    <d v="2025-01-09T00:00:00"/>
    <x v="1"/>
    <x v="0"/>
    <n v="30"/>
    <x v="2"/>
    <s v="MP"/>
    <n v="1.07"/>
    <n v="21.323076923076918"/>
    <n v="3.2500000000000001E-2"/>
    <n v="0.19500000000000001"/>
    <n v="37.075499999999998"/>
    <n v="3.3660000000000001"/>
    <n v="2.673"/>
    <n v="0.69299999999999995"/>
    <n v="0.498"/>
  </r>
  <r>
    <n v="4054"/>
    <x v="5"/>
    <d v="2025-01-09T00:00:00"/>
    <x v="1"/>
    <x v="2"/>
    <n v="30"/>
    <x v="1"/>
    <s v="MP"/>
    <n v="1.1100000000000001"/>
    <n v="20.967741935483879"/>
    <n v="3.6579999999999988E-2"/>
    <n v="0.15"/>
    <n v="42.568500000000007"/>
    <n v="2.073"/>
    <n v="1.306"/>
    <n v="0.76700000000000002"/>
    <n v="0.61799999999999999"/>
  </r>
  <r>
    <n v="4055"/>
    <x v="5"/>
    <d v="2025-01-09T00:00:00"/>
    <x v="1"/>
    <x v="2"/>
    <n v="30"/>
    <x v="1"/>
    <s v="MP"/>
    <n v="0.93"/>
    <n v="19.96692848284415"/>
    <n v="4.8379999999999999E-2"/>
    <n v="0.23699999999999999"/>
    <n v="44.918999999999997"/>
    <n v="2.391"/>
    <n v="1.425"/>
    <n v="0.96599999999999997"/>
    <n v="0.72899999999999998"/>
  </r>
  <r>
    <n v="4056"/>
    <x v="5"/>
    <d v="2025-01-09T00:00:00"/>
    <x v="1"/>
    <x v="2"/>
    <n v="30"/>
    <x v="1"/>
    <s v="MP"/>
    <n v="1.27"/>
    <n v="21.545968156137651"/>
    <n v="3.8940000000000002E-2"/>
    <n v="0.254"/>
    <n v="53.276499999999999"/>
    <n v="2.7269999999999999"/>
    <n v="1.889"/>
    <n v="0.83899999999999997"/>
    <n v="0.58499999999999996"/>
  </r>
  <r>
    <n v="4057"/>
    <x v="5"/>
    <d v="2025-01-09T00:00:00"/>
    <x v="1"/>
    <x v="2"/>
    <n v="30"/>
    <x v="1"/>
    <s v="MP"/>
    <n v="1.21"/>
    <n v="18.605546995377509"/>
    <n v="2.596E-2"/>
    <n v="0.11600000000000001"/>
    <n v="29.221499999999999"/>
    <n v="1.7130000000000001"/>
    <n v="1.23"/>
    <n v="0.48299999999999998"/>
    <n v="0.36699999999999999"/>
  </r>
  <r>
    <n v="4058"/>
    <x v="5"/>
    <d v="2025-01-09T00:00:00"/>
    <x v="1"/>
    <x v="5"/>
    <n v="30"/>
    <x v="1"/>
    <s v="MP"/>
    <n v="1.46"/>
    <n v="15.748587570621471"/>
    <n v="2.8320000000000001E-2"/>
    <n v="0.114"/>
    <n v="32.558000000000007"/>
    <n v="1.3029999999999999"/>
    <n v="0.85599999999999998"/>
    <n v="0.44600000000000001"/>
    <n v="0.33300000000000002"/>
  </r>
  <r>
    <n v="4059"/>
    <x v="5"/>
    <d v="2025-01-09T00:00:00"/>
    <x v="1"/>
    <x v="5"/>
    <n v="30"/>
    <x v="1"/>
    <s v="MP"/>
    <n v="1.37"/>
    <n v="16.376546037562989"/>
    <n v="4.3659999999999997E-2"/>
    <n v="0.17100000000000001"/>
    <n v="48.977500000000013"/>
    <n v="2.2280000000000002"/>
    <n v="1.5129999999999999"/>
    <n v="0.71499999999999997"/>
    <n v="0.54400000000000004"/>
  </r>
  <r>
    <n v="4060"/>
    <x v="5"/>
    <d v="2025-01-09T00:00:00"/>
    <x v="1"/>
    <x v="2"/>
    <n v="30"/>
    <x v="2"/>
    <s v="MP"/>
    <n v="1.24"/>
    <n v="57.872700000000002"/>
    <n v="4.2999999999999997E-2"/>
    <n v="0.17599999999999999"/>
    <n v="111.352"/>
    <n v="2.5129999999999999"/>
    <n v="0.71699999999999997"/>
    <n v="1.796"/>
    <n v="0.54100000000000004"/>
  </r>
  <r>
    <n v="4061"/>
    <x v="5"/>
    <d v="2025-01-09T00:00:00"/>
    <x v="1"/>
    <x v="2"/>
    <n v="30"/>
    <x v="2"/>
    <s v="MP"/>
    <n v="0.97"/>
    <n v="57.344200000000001"/>
    <n v="4.8000000000000001E-2"/>
    <n v="0.26500000000000001"/>
    <n v="88.367000000000004"/>
    <n v="2.7320000000000002"/>
    <n v="0.91100000000000003"/>
    <n v="1.8220000000000001"/>
    <n v="0.64600000000000002"/>
  </r>
  <r>
    <n v="4062"/>
    <x v="5"/>
    <d v="2025-01-09T00:00:00"/>
    <x v="1"/>
    <x v="2"/>
    <n v="30"/>
    <x v="2"/>
    <s v="MP"/>
    <n v="1.25"/>
    <n v="86.207800000000006"/>
    <n v="3.4000000000000002E-2"/>
    <n v="0.23499999999999999"/>
    <n v="135.1875"/>
    <n v="2.919"/>
    <n v="0.75600000000000001"/>
    <n v="2.1629999999999998"/>
    <n v="0.52100000000000002"/>
  </r>
  <r>
    <n v="4063"/>
    <x v="5"/>
    <d v="2025-01-09T00:00:00"/>
    <x v="1"/>
    <x v="5"/>
    <n v="30"/>
    <x v="2"/>
    <s v="MP"/>
    <n v="1.17"/>
    <n v="15.990675990675991"/>
    <n v="4.2900000000000001E-2"/>
    <n v="0.17699999999999999"/>
    <n v="40.131"/>
    <n v="2.2050000000000001"/>
    <n v="1.5189999999999999"/>
    <n v="0.68600000000000005"/>
    <n v="0.50900000000000001"/>
  </r>
  <r>
    <n v="4064"/>
    <x v="5"/>
    <d v="2025-01-09T00:00:00"/>
    <x v="1"/>
    <x v="5"/>
    <n v="30"/>
    <x v="2"/>
    <s v="MP"/>
    <n v="1.0900000000000001"/>
    <n v="20.100334448160531"/>
    <n v="2.9899999999999999E-2"/>
    <n v="0.182"/>
    <n v="32.7545"/>
    <n v="2.3980000000000001"/>
    <n v="1.7969999999999999"/>
    <n v="0.60099999999999998"/>
    <n v="0.41899999999999998"/>
  </r>
  <r>
    <n v="4066"/>
    <x v="5"/>
    <d v="2025-01-09T00:00:00"/>
    <x v="1"/>
    <x v="2"/>
    <n v="30"/>
    <x v="2"/>
    <s v="MP"/>
    <n v="1.04"/>
    <n v="24.374495560936239"/>
    <n v="2.478E-2"/>
    <n v="0.16600000000000001"/>
    <n v="31.408000000000001"/>
    <n v="2.0859999999999999"/>
    <n v="1.482"/>
    <n v="0.60399999999999998"/>
    <n v="0.438"/>
  </r>
  <r>
    <n v="4067"/>
    <x v="5"/>
    <d v="2025-01-09T00:00:00"/>
    <x v="1"/>
    <x v="2"/>
    <n v="30"/>
    <x v="2"/>
    <s v="MP"/>
    <n v="1.62"/>
    <n v="15.928744379107579"/>
    <n v="5.7820000000000003E-2"/>
    <n v="0.24"/>
    <n v="74.601000000000013"/>
    <n v="2.0619999999999998"/>
    <n v="1.141"/>
    <n v="0.92100000000000004"/>
    <n v="0.68100000000000005"/>
  </r>
  <r>
    <n v="4068"/>
    <x v="5"/>
    <d v="2025-01-09T00:00:00"/>
    <x v="1"/>
    <x v="5"/>
    <n v="30"/>
    <x v="2"/>
    <s v="MP"/>
    <n v="1.27"/>
    <n v="17.639673571876969"/>
    <n v="3.1859999999999999E-2"/>
    <n v="0.13500000000000001"/>
    <n v="35.686999999999998"/>
    <n v="1.5589999999999999"/>
    <n v="0.998"/>
    <n v="0.56200000000000006"/>
    <n v="0.42699999999999999"/>
  </r>
  <r>
    <n v="4069"/>
    <x v="5"/>
    <d v="2025-01-09T00:00:00"/>
    <x v="1"/>
    <x v="5"/>
    <n v="30"/>
    <x v="2"/>
    <s v="MP"/>
    <n v="1.22"/>
    <n v="17.503259452411999"/>
    <n v="3.0679999999999999E-2"/>
    <n v="0.14399999999999999"/>
    <n v="32.756999999999998"/>
    <n v="1.9259999999999999"/>
    <n v="1.389"/>
    <n v="0.53700000000000003"/>
    <n v="0.39300000000000002"/>
  </r>
  <r>
    <n v="4070"/>
    <x v="5"/>
    <d v="2025-01-09T00:00:00"/>
    <x v="1"/>
    <x v="5"/>
    <n v="30"/>
    <x v="2"/>
    <s v="MP"/>
    <n v="0.97"/>
    <n v="19.37046004842615"/>
    <n v="4.1300000000000003E-2"/>
    <n v="0.219"/>
    <n v="38.799999999999997"/>
    <n v="2.0760000000000001"/>
    <n v="1.276"/>
    <n v="0.8"/>
    <n v="0.58099999999999996"/>
  </r>
  <r>
    <n v="4071"/>
    <x v="5"/>
    <d v="2025-01-09T00:00:00"/>
    <x v="1"/>
    <x v="5"/>
    <n v="30"/>
    <x v="2"/>
    <s v="MP"/>
    <n v="1.04"/>
    <n v="18.538135593220339"/>
    <n v="3.7760000000000002E-2"/>
    <n v="0.19800000000000001"/>
    <n v="36.4"/>
    <n v="1.829"/>
    <n v="1.129"/>
    <n v="0.7"/>
    <n v="0.503"/>
  </r>
  <r>
    <n v="4072"/>
    <x v="5"/>
    <d v="2025-01-09T00:00:00"/>
    <x v="1"/>
    <x v="2"/>
    <n v="30"/>
    <x v="2"/>
    <s v="MP"/>
    <n v="1.19"/>
    <n v="21.898305084745761"/>
    <n v="2.9499999999999998E-2"/>
    <n v="0.221"/>
    <n v="38.436999999999998"/>
    <n v="2.3879999999999999"/>
    <n v="1.7430000000000001"/>
    <n v="0.64600000000000002"/>
    <n v="0.42399999999999999"/>
  </r>
  <r>
    <n v="4073"/>
    <x v="5"/>
    <d v="2025-01-09T00:00:00"/>
    <x v="1"/>
    <x v="2"/>
    <n v="30"/>
    <x v="2"/>
    <s v="MP"/>
    <n v="0.91"/>
    <n v="16.653527788726841"/>
    <n v="5.0739999999999993E-2"/>
    <n v="0.247"/>
    <n v="38.447499999999998"/>
    <n v="2.468"/>
    <n v="1.623"/>
    <n v="0.84499999999999997"/>
    <n v="0.59799999999999998"/>
  </r>
  <r>
    <n v="4074"/>
    <x v="5"/>
    <d v="2025-01-09T00:00:00"/>
    <x v="1"/>
    <x v="2"/>
    <n v="30"/>
    <x v="2"/>
    <s v="MP"/>
    <n v="0.76"/>
    <n v="69.658500000000004"/>
    <n v="3.5000000000000003E-2"/>
    <n v="0.219"/>
    <n v="62.243999999999993"/>
    <n v="2.4329999999999998"/>
    <n v="0.79500000000000004"/>
    <n v="1.6379999999999999"/>
    <n v="0.57599999999999996"/>
  </r>
  <r>
    <n v="4075"/>
    <x v="5"/>
    <d v="2025-01-09T00:00:00"/>
    <x v="1"/>
    <x v="5"/>
    <n v="30"/>
    <x v="2"/>
    <s v="MP"/>
    <n v="1.27"/>
    <n v="36.826923076923073"/>
    <n v="1.04E-2"/>
    <n v="0.14099999999999999"/>
    <n v="24.320499999999999"/>
    <n v="1.399"/>
    <n v="1.016"/>
    <n v="0.38300000000000001"/>
    <n v="0.24199999999999999"/>
  </r>
  <r>
    <n v="4076"/>
    <x v="5"/>
    <d v="2025-01-09T00:00:00"/>
    <x v="1"/>
    <x v="2"/>
    <n v="30"/>
    <x v="2"/>
    <s v="MP"/>
    <n v="1.48"/>
    <n v="34.079300000000003"/>
    <n v="6.5000000000000002E-2"/>
    <n v="0.19700000000000001"/>
    <n v="100.492"/>
    <n v="2.2269999999999999"/>
    <n v="0.86899999999999999"/>
    <n v="1.3580000000000001"/>
    <n v="0.67200000000000004"/>
  </r>
  <r>
    <n v="4077"/>
    <x v="5"/>
    <d v="2025-01-09T00:00:00"/>
    <x v="1"/>
    <x v="2"/>
    <n v="30"/>
    <x v="2"/>
    <s v="MP"/>
    <n v="1.1200000000000001"/>
    <n v="116.0693"/>
    <n v="1.9E-2"/>
    <n v="0.184"/>
    <n v="93.352000000000018"/>
    <n v="2.2029999999999998"/>
    <n v="0.53600000000000003"/>
    <n v="1.667"/>
    <n v="0.35099999999999998"/>
  </r>
  <r>
    <n v="4078"/>
    <x v="5"/>
    <d v="2025-01-09T00:00:00"/>
    <x v="1"/>
    <x v="2"/>
    <n v="30"/>
    <x v="2"/>
    <s v="MP"/>
    <n v="1.02"/>
    <n v="59.747900000000001"/>
    <n v="4.5999999999999999E-2"/>
    <n v="0.23699999999999999"/>
    <n v="97.359000000000009"/>
    <n v="2.72"/>
    <n v="0.81100000000000005"/>
    <n v="1.909"/>
    <n v="0.57399999999999995"/>
  </r>
  <r>
    <n v="4079"/>
    <x v="5"/>
    <d v="2025-01-09T00:00:00"/>
    <x v="1"/>
    <x v="2"/>
    <n v="30"/>
    <x v="2"/>
    <s v="MP"/>
    <n v="0.97"/>
    <n v="14.47963800904977"/>
    <n v="4.4200000000000003E-2"/>
    <n v="0.17299999999999999"/>
    <n v="31.04"/>
    <n v="2.3479999999999999"/>
    <n v="1.708"/>
    <n v="0.64"/>
    <n v="0.46700000000000003"/>
  </r>
  <r>
    <n v="4080"/>
    <x v="5"/>
    <d v="2025-01-09T00:00:00"/>
    <x v="1"/>
    <x v="2"/>
    <n v="30"/>
    <x v="2"/>
    <s v="MP"/>
    <n v="1.05"/>
    <n v="21.688637790332709"/>
    <n v="3.1859999999999999E-2"/>
    <n v="0.19800000000000001"/>
    <n v="36.277500000000003"/>
    <n v="2.37"/>
    <n v="1.6779999999999999"/>
    <n v="0.69099999999999995"/>
    <n v="0.49299999999999999"/>
  </r>
  <r>
    <n v="4081"/>
    <x v="5"/>
    <d v="2025-01-09T00:00:00"/>
    <x v="1"/>
    <x v="2"/>
    <n v="30"/>
    <x v="2"/>
    <s v="MP"/>
    <n v="1.47"/>
    <n v="52.492600000000003"/>
    <n v="4.1000000000000002E-2"/>
    <n v="0.192"/>
    <n v="103.5615"/>
    <n v="2.1739999999999999"/>
    <n v="0.76500000000000001"/>
    <n v="1.409"/>
    <n v="0.57299999999999995"/>
  </r>
  <r>
    <n v="4082"/>
    <x v="5"/>
    <d v="2025-01-09T00:00:00"/>
    <x v="1"/>
    <x v="2"/>
    <n v="30"/>
    <x v="2"/>
    <s v="MP"/>
    <n v="1.35"/>
    <n v="15.11705685618729"/>
    <n v="2.9899999999999999E-2"/>
    <n v="0.115"/>
    <n v="30.51"/>
    <n v="2.3490000000000002"/>
    <n v="1.8959999999999999"/>
    <n v="0.45200000000000001"/>
    <n v="0.33700000000000002"/>
  </r>
  <r>
    <n v="4083"/>
    <x v="5"/>
    <d v="2025-01-09T00:00:00"/>
    <x v="1"/>
    <x v="2"/>
    <n v="30"/>
    <x v="2"/>
    <s v="MP"/>
    <n v="1.42"/>
    <n v="15.511042629686701"/>
    <n v="3.8940000000000002E-2"/>
    <n v="0.16500000000000001"/>
    <n v="42.884"/>
    <n v="1.962"/>
    <n v="1.3580000000000001"/>
    <n v="0.60399999999999998"/>
    <n v="0.438"/>
  </r>
  <r>
    <n v="4084"/>
    <x v="5"/>
    <d v="2025-01-09T00:00:00"/>
    <x v="1"/>
    <x v="5"/>
    <n v="30"/>
    <x v="1"/>
    <s v="MP"/>
    <n v="1.04"/>
    <n v="15.370212765957451"/>
    <n v="5.8749999999999997E-2"/>
    <n v="0.22500000000000001"/>
    <n v="46.956000000000003"/>
    <n v="2.383"/>
    <n v="1.48"/>
    <n v="0.90300000000000002"/>
    <n v="0.67800000000000005"/>
  </r>
  <r>
    <n v="4085"/>
    <x v="5"/>
    <d v="2025-01-09T00:00:00"/>
    <x v="1"/>
    <x v="5"/>
    <n v="30"/>
    <x v="1"/>
    <s v="MP"/>
    <n v="0.95"/>
    <n v="16.64516129032258"/>
    <n v="3.875E-2"/>
    <n v="0.16800000000000001"/>
    <n v="30.637499999999999"/>
    <n v="2.5129999999999999"/>
    <n v="1.8680000000000001"/>
    <n v="0.64500000000000002"/>
    <n v="0.47699999999999998"/>
  </r>
  <r>
    <n v="4086"/>
    <x v="5"/>
    <d v="2025-01-09T00:00:00"/>
    <x v="1"/>
    <x v="5"/>
    <n v="30"/>
    <x v="1"/>
    <s v="MP"/>
    <n v="1.34"/>
    <n v="21.7"/>
    <n v="0.02"/>
    <n v="0.14499999999999999"/>
    <n v="29.077999999999999"/>
    <n v="2.548"/>
    <n v="2.1139999999999999"/>
    <n v="0.434"/>
    <n v="0.28899999999999998"/>
  </r>
  <r>
    <n v="4087"/>
    <x v="5"/>
    <m/>
    <x v="1"/>
    <x v="5"/>
    <n v="30"/>
    <x v="1"/>
    <s v="MP"/>
    <n v="1.47"/>
    <n v="19.05714285714286"/>
    <n v="3.5000000000000003E-2"/>
    <n v="0.186"/>
    <n v="49.024500000000003"/>
    <n v="2.2850000000000001"/>
    <n v="1.617"/>
    <n v="0.66700000000000004"/>
    <n v="0.48099999999999998"/>
  </r>
  <r>
    <m/>
    <x v="6"/>
    <m/>
    <x v="2"/>
    <x v="6"/>
    <m/>
    <x v="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5C8AD-64CD-484D-88E0-4014ABFA4F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93:A100" firstHeaderRow="1" firstDataRow="1" firstDataCol="1"/>
  <pivotFields count="18">
    <pivotField showAll="0"/>
    <pivotField axis="axisRow" showAll="0">
      <items count="12">
        <item x="0"/>
        <item h="1" m="1" x="10"/>
        <item x="1"/>
        <item x="2"/>
        <item h="1" m="1" x="8"/>
        <item x="4"/>
        <item h="1" m="1" x="7"/>
        <item h="1" x="6"/>
        <item x="3"/>
        <item h="1" m="1" x="9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7">
    <i>
      <x/>
    </i>
    <i>
      <x v="2"/>
    </i>
    <i>
      <x v="3"/>
    </i>
    <i>
      <x v="5"/>
    </i>
    <i>
      <x v="8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D6DD8-920C-4748-A48A-D05E283326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S11:U18" firstHeaderRow="0" firstDataRow="1" firstDataCol="1"/>
  <pivotFields count="18">
    <pivotField dataField="1" showAll="0"/>
    <pivotField axis="axisRow" showAll="0">
      <items count="12">
        <item h="1" m="1" x="10"/>
        <item x="1"/>
        <item x="2"/>
        <item h="1" m="1" x="8"/>
        <item x="4"/>
        <item h="1" m="1" x="7"/>
        <item h="1" x="6"/>
        <item x="0"/>
        <item x="3"/>
        <item h="1" m="1" x="9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7">
    <i>
      <x v="1"/>
    </i>
    <i>
      <x v="2"/>
    </i>
    <i>
      <x v="4"/>
    </i>
    <i>
      <x v="7"/>
    </i>
    <i>
      <x v="8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oints" fld="0" subtotal="count" baseField="1" baseItem="1"/>
    <dataField name="Sampled points" fld="2" subtotal="countNums" baseField="1" baseItem="1"/>
  </dataFields>
  <chartFormats count="2">
    <chartFormat chart="2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60A03-AD63-46E9-BFF7-1F94777D7DC4}" name="PivotTable8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A11:AC14" firstHeaderRow="0" firstDataRow="1" firstDataCol="1"/>
  <pivotFields count="18">
    <pivotField dataField="1" showAll="0"/>
    <pivotField showAll="0">
      <items count="12">
        <item x="0"/>
        <item h="1" m="1" x="10"/>
        <item x="1"/>
        <item x="2"/>
        <item x="3"/>
        <item h="1" m="1" x="8"/>
        <item x="4"/>
        <item h="1" m="1" x="7"/>
        <item h="1" m="1" x="9"/>
        <item x="5"/>
        <item h="1" x="6"/>
        <item t="default"/>
      </items>
    </pivotField>
    <pivotField showAll="0"/>
    <pivotField axis="axisRow" dataField="1" showAll="0">
      <items count="5">
        <item m="1" x="3"/>
        <item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3"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ent ot Volcani" fld="3" subtotal="count" baseField="0" baseItem="0"/>
    <dataField name="Count of Sample ID" fld="0" subtotal="count" showDataAs="percentOfTotal" baseField="3" baseItem="1" numFmtId="10"/>
  </dataFields>
  <chartFormats count="6">
    <chartFormat chart="2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7" format="13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9060C-5A02-491C-B47A-BF77A772818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W11:Y16" firstHeaderRow="0" firstDataRow="1" firstDataCol="1"/>
  <pivotFields count="18">
    <pivotField dataField="1" showAll="0"/>
    <pivotField showAll="0"/>
    <pivotField dataField="1" showAll="0"/>
    <pivotField showAll="0"/>
    <pivotField axis="axisRow" showAll="0">
      <items count="9">
        <item h="1" m="1" x="7"/>
        <item x="4"/>
        <item x="0"/>
        <item x="2"/>
        <item x="5"/>
        <item h="1" x="6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 Points" fld="0" subtotal="countNums" baseField="4" baseItem="1"/>
    <dataField name="Sampled Points" fld="2" subtotal="countNums" baseField="4" baseItem="1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034D8-FAF9-4E5F-B0B5-FB30C1576AE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Y29:Z48" firstHeaderRow="1" firstDataRow="1" firstDataCol="1"/>
  <pivotFields count="18">
    <pivotField showAll="0"/>
    <pivotField showAll="0">
      <items count="12">
        <item x="0"/>
        <item h="1" m="1" x="10"/>
        <item x="1"/>
        <item x="2"/>
        <item x="3"/>
        <item h="1" m="1" x="8"/>
        <item x="4"/>
        <item h="1" m="1" x="7"/>
        <item h="1" m="1" x="9"/>
        <item x="5"/>
        <item h="1" x="6"/>
        <item t="default"/>
      </items>
    </pivotField>
    <pivotField showAll="0"/>
    <pivotField showAll="0"/>
    <pivotField axis="axisRow" showAll="0">
      <items count="9">
        <item h="1" m="1" x="7"/>
        <item x="4"/>
        <item x="0"/>
        <item x="2"/>
        <item x="5"/>
        <item h="1" x="6"/>
        <item x="1"/>
        <item h="1" x="3"/>
        <item t="default"/>
      </items>
    </pivotField>
    <pivotField showAll="0"/>
    <pivotField axis="axisRow" showAll="0">
      <items count="6">
        <item h="1"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4"/>
    <field x="6"/>
  </rowFields>
  <rowItems count="19">
    <i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>
      <x v="6"/>
    </i>
    <i r="1">
      <x v="1"/>
    </i>
    <i t="grand">
      <x/>
    </i>
  </rowItems>
  <colItems count="1">
    <i/>
  </colItems>
  <dataFields count="1">
    <dataField name="Average of SOC [t/ha]" fld="12" subtotal="average" baseField="4" baseItem="1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4" type="button" dataOnly="0" labelOnly="1" outline="0" axis="axisRow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A77AE-7B3F-4238-8066-71B31C708B1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T29:U50" firstHeaderRow="1" firstDataRow="1" firstDataCol="1"/>
  <pivotFields count="18">
    <pivotField showAll="0"/>
    <pivotField axis="axisRow" showAll="0">
      <items count="12">
        <item x="0"/>
        <item h="1" m="1" x="10"/>
        <item x="1"/>
        <item x="2"/>
        <item x="3"/>
        <item h="1" m="1" x="8"/>
        <item x="4"/>
        <item h="1" m="1" x="7"/>
        <item h="1" m="1" x="9"/>
        <item h="1" x="6"/>
        <item x="5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2">
    <field x="1"/>
    <field x="6"/>
  </rowFields>
  <rowItems count="21">
    <i>
      <x/>
    </i>
    <i r="1">
      <x v="1"/>
    </i>
    <i>
      <x v="2"/>
    </i>
    <i r="1">
      <x v="1"/>
    </i>
    <i>
      <x v="3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>
      <x v="10"/>
    </i>
    <i r="1">
      <x v="2"/>
    </i>
    <i r="1">
      <x v="3"/>
    </i>
    <i t="grand">
      <x/>
    </i>
  </rowItems>
  <colItems count="1">
    <i/>
  </colItems>
  <dataFields count="1">
    <dataField name="Average of SOC [t/ha]" fld="12" subtotal="average" baseField="1" baseItem="8"/>
  </dataFields>
  <formats count="12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2">
          <reference field="1" count="1" selected="0">
            <x v="0"/>
          </reference>
          <reference field="6" count="1">
            <x v="1"/>
          </reference>
        </references>
      </pivotArea>
    </format>
    <format dxfId="10">
      <pivotArea dataOnly="0" labelOnly="1" fieldPosition="0">
        <references count="2">
          <reference field="1" count="1" selected="0">
            <x v="2"/>
          </reference>
          <reference field="6" count="1">
            <x v="1"/>
          </reference>
        </references>
      </pivotArea>
    </format>
    <format dxfId="9">
      <pivotArea dataOnly="0" labelOnly="1" fieldPosition="0">
        <references count="2">
          <reference field="1" count="1" selected="0">
            <x v="3"/>
          </reference>
          <reference field="6" count="2">
            <x v="2"/>
            <x v="3"/>
          </reference>
        </references>
      </pivotArea>
    </format>
    <format dxfId="8">
      <pivotArea dataOnly="0" labelOnly="1" fieldPosition="0">
        <references count="2">
          <reference field="1" count="1" selected="0">
            <x v="4"/>
          </reference>
          <reference field="6" count="4">
            <x v="0"/>
            <x v="1"/>
            <x v="2"/>
            <x v="3"/>
          </reference>
        </references>
      </pivotArea>
    </format>
    <format dxfId="7">
      <pivotArea dataOnly="0" labelOnly="1" fieldPosition="0">
        <references count="2">
          <reference field="1" count="1" selected="0">
            <x v="6"/>
          </reference>
          <reference field="6" count="3">
            <x v="1"/>
            <x v="2"/>
            <x v="3"/>
          </reference>
        </references>
      </pivotArea>
    </format>
    <format dxfId="6">
      <pivotArea dataOnly="0" labelOnly="1" fieldPosition="0">
        <references count="2">
          <reference field="1" count="1" selected="0">
            <x v="8"/>
          </reference>
          <reference field="6" count="2">
            <x v="2"/>
            <x v="3"/>
          </reference>
        </references>
      </pivotArea>
    </format>
    <format dxfId="5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1E573-1669-4A07-930D-97566E94CE29}" name="Table1" displayName="Table1" ref="C4:S56" totalsRowShown="0" headerRowDxfId="38" dataDxfId="36" headerRowBorderDxfId="37" tableBorderDxfId="35" totalsRowBorderDxfId="34">
  <autoFilter ref="C4:S56" xr:uid="{C5F1E573-1669-4A07-930D-97566E94CE29}"/>
  <sortState xmlns:xlrd2="http://schemas.microsoft.com/office/spreadsheetml/2017/richdata2" ref="C5:S56">
    <sortCondition ref="E4:E56"/>
  </sortState>
  <tableColumns count="17">
    <tableColumn id="1" xr3:uid="{461A6B2A-75D5-4267-AE25-C3F3C20F7C02}" name="no" dataDxfId="33"/>
    <tableColumn id="19" xr3:uid="{A983B130-180B-4CAB-A5F1-46CA401F293E}" name="Sample ID" dataDxfId="32"/>
    <tableColumn id="2" xr3:uid="{8679FADC-3C80-4FFB-BDFD-EE4E7078CCF8}" name="Installation" dataDxfId="31"/>
    <tableColumn id="3" xr3:uid="{A246CDD5-41F6-454F-A5B7-F693DE3D479B}" name="Project" dataDxfId="30"/>
    <tableColumn id="4" xr3:uid="{4DA22805-2A27-428D-91F9-0F4CB378B68C}" name="Date" dataDxfId="29"/>
    <tableColumn id="5" xr3:uid="{4886C9C6-D9DC-4094-8554-EE99792A22A4}" name="Stratum" dataDxfId="28"/>
    <tableColumn id="6" xr3:uid="{032CEB60-0BE4-4566-B505-B07F1EC53CB3}" name="Depth" dataDxfId="27"/>
    <tableColumn id="7" xr3:uid="{41806C20-2869-4225-9BC1-C5BF1C360D5C}" name="BSL/PR" dataDxfId="26"/>
    <tableColumn id="9" xr3:uid="{1B5541F3-4706-4F78-AC4D-1C6FA39B6571}" name="BD [gr/cm^3]" dataDxfId="25"/>
    <tableColumn id="10" xr3:uid="{1D7786A5-3C1F-419B-A31A-5C9EE86AF259}" name="C/N  ratio" dataDxfId="24"/>
    <tableColumn id="11" xr3:uid="{EE1A0A83-8782-4DD4-B5AC-7B2405482285}" name="N  [%]" dataDxfId="23"/>
    <tableColumn id="12" xr3:uid="{9412738B-9C37-4E29-9B59-D92453E0DE8A}" name="ROC 600 [%]" dataDxfId="22"/>
    <tableColumn id="13" xr3:uid="{7A97869A-1BCB-48C0-85AA-9D62D78948CD}" name="SOC [t/ha]" dataDxfId="21"/>
    <tableColumn id="14" xr3:uid="{EBC523E5-B308-41CE-9A87-B50890B695FA}" name="TC  [%]" dataDxfId="20"/>
    <tableColumn id="15" xr3:uid="{5C82F1D5-DC4F-43E4-A821-FE2D9D091E05}" name="TIC 900 [%]" dataDxfId="19"/>
    <tableColumn id="16" xr3:uid="{7EDE8701-BC17-4759-B90A-8508B52F9605}" name="TOC  [%]" dataDxfId="18"/>
    <tableColumn id="17" xr3:uid="{0B957B88-A308-42EB-8A98-737C4F4BC260}" name="TOC 400 [%]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17A0-92C2-4AC2-8948-CBC3B0554FB9}">
  <dimension ref="A2:U70"/>
  <sheetViews>
    <sheetView showGridLines="0" tabSelected="1" zoomScale="120" zoomScaleNormal="120" workbookViewId="0">
      <selection activeCell="F7" sqref="F7"/>
    </sheetView>
  </sheetViews>
  <sheetFormatPr defaultColWidth="8.77734375" defaultRowHeight="14.4" x14ac:dyDescent="0.3"/>
  <cols>
    <col min="1" max="2" width="8.77734375" style="3"/>
    <col min="3" max="3" width="9.6640625" style="3" customWidth="1"/>
    <col min="4" max="4" width="18" style="3" customWidth="1"/>
    <col min="5" max="5" width="15.5546875" style="3" bestFit="1" customWidth="1"/>
    <col min="6" max="6" width="15.44140625" style="3" customWidth="1"/>
    <col min="7" max="7" width="16.44140625" style="3" customWidth="1"/>
    <col min="8" max="8" width="12.88671875" style="3" customWidth="1"/>
    <col min="9" max="9" width="15.77734375" style="3" customWidth="1"/>
    <col min="10" max="10" width="13.88671875" style="3" customWidth="1"/>
    <col min="11" max="11" width="17.33203125" style="3" customWidth="1"/>
    <col min="12" max="12" width="16" style="3" customWidth="1"/>
    <col min="13" max="13" width="13.6640625" style="3" customWidth="1"/>
    <col min="14" max="14" width="15" style="3" customWidth="1"/>
    <col min="15" max="15" width="14.77734375" style="3" customWidth="1"/>
    <col min="16" max="16" width="12.77734375" style="3" customWidth="1"/>
    <col min="17" max="17" width="13.21875" style="3" customWidth="1"/>
    <col min="18" max="19" width="13.6640625" style="3" customWidth="1"/>
    <col min="20" max="16384" width="8.77734375" style="3"/>
  </cols>
  <sheetData>
    <row r="2" spans="1:21" ht="21" x14ac:dyDescent="0.3">
      <c r="C2" s="21"/>
      <c r="J2" s="21" t="s">
        <v>81</v>
      </c>
    </row>
    <row r="4" spans="1:21" x14ac:dyDescent="0.3">
      <c r="C4" s="32" t="s">
        <v>14</v>
      </c>
      <c r="D4" s="18" t="s">
        <v>16</v>
      </c>
      <c r="E4" s="19" t="s">
        <v>7</v>
      </c>
      <c r="F4" s="19" t="s">
        <v>17</v>
      </c>
      <c r="G4" s="19" t="s">
        <v>18</v>
      </c>
      <c r="H4" s="19" t="s">
        <v>19</v>
      </c>
      <c r="I4" s="19" t="s">
        <v>20</v>
      </c>
      <c r="J4" s="19" t="s">
        <v>21</v>
      </c>
      <c r="K4" s="19" t="s">
        <v>22</v>
      </c>
      <c r="L4" s="19" t="s">
        <v>6</v>
      </c>
      <c r="M4" s="19" t="s">
        <v>5</v>
      </c>
      <c r="N4" s="19" t="s">
        <v>1</v>
      </c>
      <c r="O4" s="19" t="s">
        <v>23</v>
      </c>
      <c r="P4" s="19" t="s">
        <v>4</v>
      </c>
      <c r="Q4" s="19" t="s">
        <v>3</v>
      </c>
      <c r="R4" s="19" t="s">
        <v>2</v>
      </c>
      <c r="S4" s="20" t="s">
        <v>0</v>
      </c>
    </row>
    <row r="5" spans="1:21" ht="28.8" x14ac:dyDescent="0.3">
      <c r="A5" s="33"/>
      <c r="C5" s="4">
        <v>1</v>
      </c>
      <c r="D5" s="4" t="s">
        <v>57</v>
      </c>
      <c r="E5" s="41" t="s">
        <v>83</v>
      </c>
      <c r="F5" s="40" t="s">
        <v>84</v>
      </c>
      <c r="G5" s="7"/>
      <c r="H5" s="5" t="s">
        <v>24</v>
      </c>
      <c r="I5" s="5">
        <v>30</v>
      </c>
      <c r="J5" s="5" t="s">
        <v>42</v>
      </c>
      <c r="K5" s="5"/>
      <c r="L5" s="5"/>
      <c r="M5" s="5"/>
      <c r="N5" s="5"/>
      <c r="O5" s="5"/>
      <c r="P5" s="5"/>
      <c r="Q5" s="5"/>
      <c r="R5" s="5"/>
      <c r="S5" s="6"/>
      <c r="U5" s="3">
        <f>(Table1[[#This Row],[TOC  '[%']]]/100)*Table1[[#This Row],[BD '[gr/cm^3']]]*Table1[[#This Row],[Depth]]*100</f>
        <v>0</v>
      </c>
    </row>
    <row r="6" spans="1:21" x14ac:dyDescent="0.3">
      <c r="A6" s="33"/>
      <c r="C6" s="4">
        <v>2</v>
      </c>
      <c r="D6" s="34" t="s">
        <v>58</v>
      </c>
      <c r="E6" s="41" t="s">
        <v>83</v>
      </c>
      <c r="F6" s="5"/>
      <c r="G6" s="7"/>
      <c r="H6" s="5" t="s">
        <v>24</v>
      </c>
      <c r="I6" s="5">
        <v>15</v>
      </c>
      <c r="J6" s="5" t="s">
        <v>42</v>
      </c>
      <c r="K6" s="5"/>
      <c r="L6" s="5"/>
      <c r="M6" s="5"/>
      <c r="N6" s="5"/>
      <c r="O6" s="5"/>
      <c r="P6" s="5"/>
      <c r="Q6" s="5"/>
      <c r="R6" s="5"/>
      <c r="S6" s="6"/>
      <c r="U6" s="3">
        <f>(Table1[[#This Row],[TOC  '[%']]]/100)*Table1[[#This Row],[BD '[gr/cm^3']]]*Table1[[#This Row],[Depth]]*100</f>
        <v>0</v>
      </c>
    </row>
    <row r="7" spans="1:21" x14ac:dyDescent="0.3">
      <c r="C7" s="4">
        <v>3</v>
      </c>
      <c r="D7" s="34" t="s">
        <v>59</v>
      </c>
      <c r="E7" s="41" t="s">
        <v>83</v>
      </c>
      <c r="F7" s="5"/>
      <c r="G7" s="7"/>
      <c r="H7" s="5" t="s">
        <v>24</v>
      </c>
      <c r="I7" s="5">
        <v>30</v>
      </c>
      <c r="J7" s="5" t="s">
        <v>42</v>
      </c>
      <c r="K7" s="5"/>
      <c r="L7" s="5"/>
      <c r="M7" s="5"/>
      <c r="N7" s="5"/>
      <c r="O7" s="5"/>
      <c r="P7" s="5"/>
      <c r="Q7" s="5"/>
      <c r="R7" s="5"/>
      <c r="S7" s="6"/>
      <c r="U7" s="3">
        <f>(Table1[[#This Row],[TOC  '[%']]]/100)*Table1[[#This Row],[BD '[gr/cm^3']]]*Table1[[#This Row],[Depth]]*100</f>
        <v>0</v>
      </c>
    </row>
    <row r="8" spans="1:21" x14ac:dyDescent="0.3">
      <c r="A8" s="33"/>
      <c r="C8" s="4">
        <v>4</v>
      </c>
      <c r="D8" s="34" t="s">
        <v>60</v>
      </c>
      <c r="E8" s="41" t="s">
        <v>83</v>
      </c>
      <c r="F8" s="5"/>
      <c r="G8" s="7"/>
      <c r="H8" s="5" t="s">
        <v>24</v>
      </c>
      <c r="I8" s="5">
        <v>15</v>
      </c>
      <c r="J8" s="5" t="s">
        <v>42</v>
      </c>
      <c r="K8" s="5"/>
      <c r="L8" s="5"/>
      <c r="M8" s="5"/>
      <c r="N8" s="5"/>
      <c r="O8" s="5"/>
      <c r="P8" s="5"/>
      <c r="Q8" s="5"/>
      <c r="R8" s="5"/>
      <c r="S8" s="6"/>
      <c r="U8" s="3">
        <f>(Table1[[#This Row],[TOC  '[%']]]/100)*Table1[[#This Row],[BD '[gr/cm^3']]]*Table1[[#This Row],[Depth]]*100</f>
        <v>0</v>
      </c>
    </row>
    <row r="9" spans="1:21" x14ac:dyDescent="0.3">
      <c r="A9" s="33"/>
      <c r="C9" s="4">
        <v>5</v>
      </c>
      <c r="D9" s="34" t="s">
        <v>61</v>
      </c>
      <c r="E9" s="41" t="s">
        <v>83</v>
      </c>
      <c r="F9" s="5"/>
      <c r="G9" s="7"/>
      <c r="H9" s="5" t="s">
        <v>24</v>
      </c>
      <c r="I9" s="5">
        <v>30</v>
      </c>
      <c r="J9" s="5" t="s">
        <v>42</v>
      </c>
      <c r="K9" s="5"/>
      <c r="L9" s="5"/>
      <c r="M9" s="5"/>
      <c r="N9" s="5"/>
      <c r="O9" s="5"/>
      <c r="P9" s="5"/>
      <c r="Q9" s="5"/>
      <c r="R9" s="5"/>
      <c r="S9" s="6"/>
      <c r="U9" s="3">
        <f>(Table1[[#This Row],[TOC  '[%']]]/100)*Table1[[#This Row],[BD '[gr/cm^3']]]*Table1[[#This Row],[Depth]]*100</f>
        <v>0</v>
      </c>
    </row>
    <row r="10" spans="1:21" x14ac:dyDescent="0.3">
      <c r="C10" s="4">
        <v>6</v>
      </c>
      <c r="D10" s="34" t="s">
        <v>62</v>
      </c>
      <c r="E10" s="41" t="s">
        <v>83</v>
      </c>
      <c r="F10" s="5"/>
      <c r="G10" s="7"/>
      <c r="H10" s="5" t="s">
        <v>24</v>
      </c>
      <c r="I10" s="5">
        <v>15</v>
      </c>
      <c r="J10" s="5" t="s">
        <v>42</v>
      </c>
      <c r="K10" s="5"/>
      <c r="L10" s="5"/>
      <c r="M10" s="5"/>
      <c r="N10" s="5"/>
      <c r="O10" s="5"/>
      <c r="P10" s="5"/>
      <c r="Q10" s="5"/>
      <c r="R10" s="5"/>
      <c r="S10" s="6"/>
      <c r="U10" s="3">
        <f>(Table1[[#This Row],[TOC  '[%']]]/100)*Table1[[#This Row],[BD '[gr/cm^3']]]*Table1[[#This Row],[Depth]]*100</f>
        <v>0</v>
      </c>
    </row>
    <row r="11" spans="1:21" x14ac:dyDescent="0.3">
      <c r="C11" s="4">
        <v>7</v>
      </c>
      <c r="D11" s="34" t="s">
        <v>63</v>
      </c>
      <c r="E11" s="41" t="s">
        <v>83</v>
      </c>
      <c r="F11" s="5"/>
      <c r="G11" s="7"/>
      <c r="H11" s="5" t="s">
        <v>24</v>
      </c>
      <c r="I11" s="5">
        <v>30</v>
      </c>
      <c r="J11" s="5" t="s">
        <v>42</v>
      </c>
      <c r="K11" s="5"/>
      <c r="L11" s="5"/>
      <c r="M11" s="5"/>
      <c r="N11" s="5"/>
      <c r="O11" s="5"/>
      <c r="P11" s="5"/>
      <c r="Q11" s="5"/>
      <c r="R11" s="5"/>
      <c r="S11" s="6"/>
      <c r="U11" s="3">
        <f>(Table1[[#This Row],[TOC  '[%']]]/100)*Table1[[#This Row],[BD '[gr/cm^3']]]*Table1[[#This Row],[Depth]]*100</f>
        <v>0</v>
      </c>
    </row>
    <row r="12" spans="1:21" x14ac:dyDescent="0.3">
      <c r="C12" s="4">
        <v>8</v>
      </c>
      <c r="D12" s="34" t="s">
        <v>64</v>
      </c>
      <c r="E12" s="41" t="s">
        <v>83</v>
      </c>
      <c r="F12" s="5"/>
      <c r="G12" s="7"/>
      <c r="H12" s="5" t="s">
        <v>24</v>
      </c>
      <c r="I12" s="5">
        <v>15</v>
      </c>
      <c r="J12" s="5" t="s">
        <v>42</v>
      </c>
      <c r="K12" s="5"/>
      <c r="L12" s="5"/>
      <c r="M12" s="5"/>
      <c r="N12" s="5"/>
      <c r="O12" s="5"/>
      <c r="P12" s="5"/>
      <c r="Q12" s="5"/>
      <c r="R12" s="5"/>
      <c r="S12" s="6"/>
      <c r="U12" s="3">
        <f>(Table1[[#This Row],[TOC  '[%']]]/100)*Table1[[#This Row],[BD '[gr/cm^3']]]*Table1[[#This Row],[Depth]]*100</f>
        <v>0</v>
      </c>
    </row>
    <row r="13" spans="1:21" x14ac:dyDescent="0.3">
      <c r="C13" s="4">
        <v>9</v>
      </c>
      <c r="D13" s="34" t="s">
        <v>65</v>
      </c>
      <c r="E13" s="41" t="s">
        <v>83</v>
      </c>
      <c r="F13" s="5"/>
      <c r="G13" s="7"/>
      <c r="H13" s="5" t="s">
        <v>24</v>
      </c>
      <c r="I13" s="5">
        <v>30</v>
      </c>
      <c r="J13" s="5" t="s">
        <v>82</v>
      </c>
      <c r="K13" s="5"/>
      <c r="L13" s="5"/>
      <c r="M13" s="5"/>
      <c r="N13" s="5"/>
      <c r="O13" s="5"/>
      <c r="P13" s="5"/>
      <c r="Q13" s="5"/>
      <c r="R13" s="5"/>
      <c r="S13" s="6"/>
      <c r="U13" s="3">
        <f>(Table1[[#This Row],[TOC  '[%']]]/100)*Table1[[#This Row],[BD '[gr/cm^3']]]*Table1[[#This Row],[Depth]]*100</f>
        <v>0</v>
      </c>
    </row>
    <row r="14" spans="1:21" x14ac:dyDescent="0.3">
      <c r="C14" s="4">
        <v>10</v>
      </c>
      <c r="D14" s="34" t="s">
        <v>66</v>
      </c>
      <c r="E14" s="41" t="s">
        <v>83</v>
      </c>
      <c r="F14" s="5"/>
      <c r="G14" s="7"/>
      <c r="H14" s="5" t="s">
        <v>24</v>
      </c>
      <c r="I14" s="5">
        <v>15</v>
      </c>
      <c r="J14" s="5" t="s">
        <v>82</v>
      </c>
      <c r="K14" s="5"/>
      <c r="L14" s="5"/>
      <c r="M14" s="5"/>
      <c r="N14" s="5"/>
      <c r="O14" s="5"/>
      <c r="P14" s="5"/>
      <c r="Q14" s="5"/>
      <c r="R14" s="5"/>
      <c r="S14" s="6"/>
      <c r="U14" s="3">
        <f>(Table1[[#This Row],[TOC  '[%']]]/100)*Table1[[#This Row],[BD '[gr/cm^3']]]*Table1[[#This Row],[Depth]]*100</f>
        <v>0</v>
      </c>
    </row>
    <row r="15" spans="1:21" x14ac:dyDescent="0.3">
      <c r="C15" s="4">
        <v>11</v>
      </c>
      <c r="D15" s="34" t="s">
        <v>67</v>
      </c>
      <c r="E15" s="35"/>
      <c r="F15" s="5"/>
      <c r="G15" s="7"/>
      <c r="H15" s="5" t="s">
        <v>24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  <c r="U15" s="3">
        <f>(Table1[[#This Row],[TOC  '[%']]]/100)*Table1[[#This Row],[BD '[gr/cm^3']]]*Table1[[#This Row],[Depth]]*100</f>
        <v>0</v>
      </c>
    </row>
    <row r="16" spans="1:21" x14ac:dyDescent="0.3">
      <c r="C16" s="4">
        <v>12</v>
      </c>
      <c r="D16" s="34" t="s">
        <v>68</v>
      </c>
      <c r="E16" s="35"/>
      <c r="F16" s="5"/>
      <c r="G16" s="7"/>
      <c r="H16" s="5" t="s">
        <v>24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  <c r="U16" s="3">
        <f>(Table1[[#This Row],[TOC  '[%']]]/100)*Table1[[#This Row],[BD '[gr/cm^3']]]*Table1[[#This Row],[Depth]]*100</f>
        <v>0</v>
      </c>
    </row>
    <row r="17" spans="3:21" x14ac:dyDescent="0.3">
      <c r="C17" s="4">
        <v>13</v>
      </c>
      <c r="D17" s="34" t="s">
        <v>69</v>
      </c>
      <c r="E17" s="35"/>
      <c r="F17" s="5"/>
      <c r="G17" s="7"/>
      <c r="H17" s="5" t="s">
        <v>24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6"/>
      <c r="U17" s="3">
        <f>(Table1[[#This Row],[TOC  '[%']]]/100)*Table1[[#This Row],[BD '[gr/cm^3']]]*Table1[[#This Row],[Depth]]*100</f>
        <v>0</v>
      </c>
    </row>
    <row r="18" spans="3:21" x14ac:dyDescent="0.3">
      <c r="C18" s="4">
        <v>14</v>
      </c>
      <c r="D18" s="34" t="s">
        <v>70</v>
      </c>
      <c r="E18" s="35"/>
      <c r="F18" s="5"/>
      <c r="G18" s="7"/>
      <c r="H18" s="5" t="s">
        <v>24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  <c r="U18" s="3">
        <f>(Table1[[#This Row],[TOC  '[%']]]/100)*Table1[[#This Row],[BD '[gr/cm^3']]]*Table1[[#This Row],[Depth]]*100</f>
        <v>0</v>
      </c>
    </row>
    <row r="19" spans="3:21" x14ac:dyDescent="0.3">
      <c r="C19" s="4">
        <v>15</v>
      </c>
      <c r="D19" s="34" t="s">
        <v>71</v>
      </c>
      <c r="E19" s="35"/>
      <c r="F19" s="5"/>
      <c r="G19" s="7"/>
      <c r="H19" s="5" t="s">
        <v>24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</row>
    <row r="20" spans="3:21" x14ac:dyDescent="0.3">
      <c r="C20" s="4">
        <v>16</v>
      </c>
      <c r="D20" s="34" t="s">
        <v>72</v>
      </c>
      <c r="E20" s="35"/>
      <c r="F20" s="5"/>
      <c r="G20" s="7"/>
      <c r="H20" s="5" t="s">
        <v>24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6"/>
    </row>
    <row r="21" spans="3:21" x14ac:dyDescent="0.3">
      <c r="C21" s="4">
        <v>17</v>
      </c>
      <c r="D21" s="34" t="s">
        <v>73</v>
      </c>
      <c r="E21" s="35"/>
      <c r="F21" s="5"/>
      <c r="G21" s="7"/>
      <c r="H21" s="5" t="s">
        <v>24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</row>
    <row r="22" spans="3:21" x14ac:dyDescent="0.3">
      <c r="C22" s="4">
        <v>18</v>
      </c>
      <c r="D22" s="34" t="s">
        <v>74</v>
      </c>
      <c r="E22" s="35"/>
      <c r="F22" s="5"/>
      <c r="G22" s="7"/>
      <c r="H22" s="5" t="s">
        <v>24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6"/>
    </row>
    <row r="23" spans="3:21" x14ac:dyDescent="0.3">
      <c r="C23" s="4">
        <v>19</v>
      </c>
      <c r="D23" s="34" t="s">
        <v>75</v>
      </c>
      <c r="E23" s="35"/>
      <c r="F23" s="5"/>
      <c r="G23" s="7"/>
      <c r="H23" s="5" t="s">
        <v>24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6"/>
    </row>
    <row r="24" spans="3:21" x14ac:dyDescent="0.3">
      <c r="C24" s="4">
        <v>20</v>
      </c>
      <c r="D24" s="34" t="s">
        <v>76</v>
      </c>
      <c r="E24" s="35"/>
      <c r="F24" s="5"/>
      <c r="G24" s="7"/>
      <c r="H24" s="5" t="s">
        <v>24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6"/>
    </row>
    <row r="25" spans="3:21" x14ac:dyDescent="0.3">
      <c r="C25" s="4">
        <v>21</v>
      </c>
      <c r="D25" s="34" t="s">
        <v>77</v>
      </c>
      <c r="E25" s="35"/>
      <c r="F25" s="5"/>
      <c r="G25" s="7"/>
      <c r="H25" s="5" t="s">
        <v>24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6"/>
    </row>
    <row r="26" spans="3:21" x14ac:dyDescent="0.3">
      <c r="C26" s="4">
        <v>22</v>
      </c>
      <c r="D26" s="34" t="s">
        <v>78</v>
      </c>
      <c r="E26" s="35"/>
      <c r="F26" s="5"/>
      <c r="G26" s="7"/>
      <c r="H26" s="5" t="s">
        <v>24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6"/>
    </row>
    <row r="27" spans="3:21" x14ac:dyDescent="0.3">
      <c r="C27" s="4">
        <v>23</v>
      </c>
      <c r="D27" s="34" t="s">
        <v>79</v>
      </c>
      <c r="E27" s="35"/>
      <c r="F27" s="5"/>
      <c r="G27" s="7"/>
      <c r="H27" s="5" t="s">
        <v>24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6"/>
    </row>
    <row r="28" spans="3:21" x14ac:dyDescent="0.3">
      <c r="C28" s="4">
        <v>24</v>
      </c>
      <c r="D28" s="34" t="s">
        <v>80</v>
      </c>
      <c r="E28" s="35"/>
      <c r="F28" s="5"/>
      <c r="G28" s="7"/>
      <c r="H28" s="5" t="s">
        <v>24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6"/>
    </row>
    <row r="29" spans="3:21" x14ac:dyDescent="0.3">
      <c r="C29" s="4">
        <v>25</v>
      </c>
      <c r="D29" s="4"/>
      <c r="E29" s="5"/>
      <c r="F29" s="5"/>
      <c r="G29" s="7"/>
      <c r="H29" s="5" t="s">
        <v>24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6"/>
    </row>
    <row r="30" spans="3:21" x14ac:dyDescent="0.3">
      <c r="C30" s="4">
        <v>26</v>
      </c>
      <c r="D30" s="4"/>
      <c r="E30" s="5"/>
      <c r="F30" s="5"/>
      <c r="G30" s="7"/>
      <c r="H30" s="5" t="s">
        <v>24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6"/>
    </row>
    <row r="31" spans="3:21" x14ac:dyDescent="0.3">
      <c r="C31" s="4">
        <v>27</v>
      </c>
      <c r="D31" s="4"/>
      <c r="E31" s="5"/>
      <c r="F31" s="5"/>
      <c r="G31" s="7"/>
      <c r="H31" s="5" t="s">
        <v>24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</row>
    <row r="32" spans="3:21" x14ac:dyDescent="0.3">
      <c r="C32" s="4">
        <v>28</v>
      </c>
      <c r="D32" s="4"/>
      <c r="E32" s="5"/>
      <c r="F32" s="5"/>
      <c r="G32" s="7"/>
      <c r="H32" s="5" t="s">
        <v>24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</row>
    <row r="33" spans="3:19" x14ac:dyDescent="0.3">
      <c r="C33" s="4">
        <v>29</v>
      </c>
      <c r="D33" s="4"/>
      <c r="E33" s="5"/>
      <c r="F33" s="5"/>
      <c r="G33" s="7"/>
      <c r="H33" s="5" t="s">
        <v>24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</row>
    <row r="34" spans="3:19" x14ac:dyDescent="0.3">
      <c r="C34" s="4">
        <v>30</v>
      </c>
      <c r="D34" s="4"/>
      <c r="E34" s="5"/>
      <c r="F34" s="5"/>
      <c r="G34" s="7"/>
      <c r="H34" s="5" t="s">
        <v>24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</row>
    <row r="35" spans="3:19" x14ac:dyDescent="0.3">
      <c r="C35" s="4">
        <v>31</v>
      </c>
      <c r="D35" s="4"/>
      <c r="E35" s="5"/>
      <c r="F35" s="5"/>
      <c r="G35" s="7"/>
      <c r="H35" s="5" t="s">
        <v>24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6"/>
    </row>
    <row r="36" spans="3:19" x14ac:dyDescent="0.3">
      <c r="C36" s="4">
        <v>32</v>
      </c>
      <c r="D36" s="4"/>
      <c r="E36" s="5"/>
      <c r="F36" s="5"/>
      <c r="G36" s="7"/>
      <c r="H36" s="5" t="s">
        <v>24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6"/>
    </row>
    <row r="37" spans="3:19" x14ac:dyDescent="0.3">
      <c r="C37" s="4">
        <v>33</v>
      </c>
      <c r="D37" s="4"/>
      <c r="E37" s="5"/>
      <c r="F37" s="5"/>
      <c r="G37" s="7"/>
      <c r="H37" s="5" t="s">
        <v>24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6"/>
    </row>
    <row r="38" spans="3:19" x14ac:dyDescent="0.3">
      <c r="C38" s="4">
        <v>34</v>
      </c>
      <c r="D38" s="4"/>
      <c r="E38" s="5"/>
      <c r="F38" s="5"/>
      <c r="G38" s="7"/>
      <c r="H38" s="5" t="s">
        <v>24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6"/>
    </row>
    <row r="39" spans="3:19" x14ac:dyDescent="0.3">
      <c r="C39" s="4">
        <v>35</v>
      </c>
      <c r="D39" s="4"/>
      <c r="E39" s="5"/>
      <c r="F39" s="5"/>
      <c r="G39" s="7"/>
      <c r="H39" s="5" t="s">
        <v>24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6"/>
    </row>
    <row r="40" spans="3:19" x14ac:dyDescent="0.3">
      <c r="C40" s="4">
        <v>36</v>
      </c>
      <c r="D40" s="4"/>
      <c r="E40" s="5"/>
      <c r="F40" s="5"/>
      <c r="G40" s="7"/>
      <c r="H40" s="5" t="s">
        <v>24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</row>
    <row r="41" spans="3:19" x14ac:dyDescent="0.3">
      <c r="C41" s="4">
        <v>37</v>
      </c>
      <c r="D41" s="4"/>
      <c r="E41" s="5"/>
      <c r="F41" s="5"/>
      <c r="G41" s="7"/>
      <c r="H41" s="5" t="s">
        <v>24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6"/>
    </row>
    <row r="42" spans="3:19" x14ac:dyDescent="0.3">
      <c r="C42" s="4">
        <v>38</v>
      </c>
      <c r="D42" s="4"/>
      <c r="E42" s="5"/>
      <c r="F42" s="5"/>
      <c r="G42" s="7"/>
      <c r="H42" s="5" t="s">
        <v>24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6"/>
    </row>
    <row r="43" spans="3:19" x14ac:dyDescent="0.3">
      <c r="C43" s="4">
        <v>39</v>
      </c>
      <c r="D43" s="4"/>
      <c r="E43" s="5"/>
      <c r="F43" s="5"/>
      <c r="G43" s="7"/>
      <c r="H43" s="5" t="s">
        <v>24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6"/>
    </row>
    <row r="44" spans="3:19" x14ac:dyDescent="0.3">
      <c r="C44" s="4">
        <v>40</v>
      </c>
      <c r="D44" s="4"/>
      <c r="E44" s="5"/>
      <c r="F44" s="5"/>
      <c r="G44" s="7"/>
      <c r="H44" s="5" t="s">
        <v>24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</row>
    <row r="45" spans="3:19" x14ac:dyDescent="0.3">
      <c r="C45" s="4">
        <v>41</v>
      </c>
      <c r="D45" s="4"/>
      <c r="E45" s="5"/>
      <c r="F45" s="5"/>
      <c r="G45" s="7"/>
      <c r="H45" s="5" t="s">
        <v>24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</row>
    <row r="46" spans="3:19" x14ac:dyDescent="0.3">
      <c r="C46" s="4">
        <v>42</v>
      </c>
      <c r="D46" s="4"/>
      <c r="E46" s="5"/>
      <c r="F46" s="5"/>
      <c r="G46" s="7"/>
      <c r="H46" s="5" t="s">
        <v>24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6"/>
    </row>
    <row r="47" spans="3:19" x14ac:dyDescent="0.3">
      <c r="C47" s="4">
        <v>43</v>
      </c>
      <c r="D47" s="4"/>
      <c r="E47" s="5"/>
      <c r="F47" s="5"/>
      <c r="G47" s="7"/>
      <c r="H47" s="5" t="s">
        <v>24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6"/>
    </row>
    <row r="48" spans="3:19" x14ac:dyDescent="0.3">
      <c r="C48" s="4">
        <v>44</v>
      </c>
      <c r="D48" s="4"/>
      <c r="E48" s="5"/>
      <c r="F48" s="5"/>
      <c r="G48" s="7"/>
      <c r="H48" s="5" t="s">
        <v>24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6"/>
    </row>
    <row r="49" spans="3:19" x14ac:dyDescent="0.3">
      <c r="C49" s="4">
        <v>45</v>
      </c>
      <c r="D49" s="4"/>
      <c r="E49" s="5"/>
      <c r="F49" s="5"/>
      <c r="G49" s="7"/>
      <c r="H49" s="5" t="s">
        <v>24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6"/>
    </row>
    <row r="50" spans="3:19" x14ac:dyDescent="0.3">
      <c r="C50" s="4">
        <v>46</v>
      </c>
      <c r="D50" s="4"/>
      <c r="E50" s="5"/>
      <c r="F50" s="5"/>
      <c r="G50" s="7"/>
      <c r="H50" s="5" t="s">
        <v>24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6"/>
    </row>
    <row r="51" spans="3:19" x14ac:dyDescent="0.3">
      <c r="C51" s="4">
        <v>47</v>
      </c>
      <c r="D51" s="4"/>
      <c r="E51" s="5"/>
      <c r="F51" s="5"/>
      <c r="G51" s="7"/>
      <c r="H51" s="5" t="s">
        <v>24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6"/>
    </row>
    <row r="52" spans="3:19" x14ac:dyDescent="0.3">
      <c r="C52" s="4">
        <v>48</v>
      </c>
      <c r="D52" s="4"/>
      <c r="E52" s="5"/>
      <c r="F52" s="5"/>
      <c r="G52" s="7"/>
      <c r="H52" s="5" t="s">
        <v>24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6"/>
    </row>
    <row r="53" spans="3:19" x14ac:dyDescent="0.3">
      <c r="C53" s="4">
        <v>49</v>
      </c>
      <c r="D53" s="4"/>
      <c r="E53" s="5"/>
      <c r="F53" s="5"/>
      <c r="G53" s="7"/>
      <c r="H53" s="5" t="s">
        <v>24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6"/>
    </row>
    <row r="54" spans="3:19" x14ac:dyDescent="0.3">
      <c r="C54" s="4">
        <v>50</v>
      </c>
      <c r="D54" s="4"/>
      <c r="E54" s="5"/>
      <c r="F54" s="5"/>
      <c r="G54" s="7"/>
      <c r="H54" s="5" t="s">
        <v>24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6"/>
    </row>
    <row r="55" spans="3:19" x14ac:dyDescent="0.3">
      <c r="C55" s="4">
        <v>51</v>
      </c>
      <c r="D55" s="4"/>
      <c r="E55" s="5"/>
      <c r="F55" s="5"/>
      <c r="G55" s="7"/>
      <c r="H55" s="5" t="s">
        <v>24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6"/>
    </row>
    <row r="56" spans="3:19" x14ac:dyDescent="0.3">
      <c r="C56" s="4">
        <v>52</v>
      </c>
      <c r="D56" s="4"/>
      <c r="E56" s="5"/>
      <c r="F56" s="5"/>
      <c r="G56" s="7"/>
      <c r="H56" s="5" t="s">
        <v>24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6"/>
    </row>
    <row r="57" spans="3:19" ht="15" thickBot="1" x14ac:dyDescent="0.35"/>
    <row r="58" spans="3:19" ht="16.2" thickBot="1" x14ac:dyDescent="0.35">
      <c r="G58" s="36" t="s">
        <v>53</v>
      </c>
      <c r="H58" s="37"/>
    </row>
    <row r="59" spans="3:19" ht="16.2" thickBot="1" x14ac:dyDescent="0.35">
      <c r="C59" s="22"/>
      <c r="D59" s="22"/>
      <c r="G59" s="23" t="s">
        <v>54</v>
      </c>
      <c r="H59" s="23" t="s">
        <v>43</v>
      </c>
    </row>
    <row r="60" spans="3:19" ht="15.6" x14ac:dyDescent="0.3">
      <c r="C60" s="22"/>
      <c r="G60" s="24" t="s">
        <v>44</v>
      </c>
      <c r="H60" s="27">
        <v>26</v>
      </c>
    </row>
    <row r="61" spans="3:19" ht="15.6" x14ac:dyDescent="0.3">
      <c r="C61" s="22"/>
      <c r="G61" s="30" t="s">
        <v>55</v>
      </c>
      <c r="H61" s="31">
        <v>20</v>
      </c>
    </row>
    <row r="62" spans="3:19" ht="15.6" x14ac:dyDescent="0.3">
      <c r="C62" s="22"/>
      <c r="G62" s="25" t="s">
        <v>56</v>
      </c>
      <c r="H62" s="28">
        <v>6</v>
      </c>
    </row>
    <row r="63" spans="3:19" ht="15.6" x14ac:dyDescent="0.3">
      <c r="G63" s="30" t="s">
        <v>47</v>
      </c>
      <c r="H63" s="31">
        <v>20</v>
      </c>
    </row>
    <row r="64" spans="3:19" ht="15.6" x14ac:dyDescent="0.3">
      <c r="G64" s="25" t="s">
        <v>48</v>
      </c>
      <c r="H64" s="28">
        <v>6</v>
      </c>
    </row>
    <row r="65" spans="7:8" ht="15.6" x14ac:dyDescent="0.3">
      <c r="G65" s="30" t="s">
        <v>45</v>
      </c>
      <c r="H65" s="31">
        <v>20</v>
      </c>
    </row>
    <row r="66" spans="7:8" ht="15.6" x14ac:dyDescent="0.3">
      <c r="G66" s="25" t="s">
        <v>46</v>
      </c>
      <c r="H66" s="28">
        <v>6</v>
      </c>
    </row>
    <row r="67" spans="7:8" ht="15.6" x14ac:dyDescent="0.3">
      <c r="G67" s="30" t="s">
        <v>49</v>
      </c>
      <c r="H67" s="31">
        <v>3</v>
      </c>
    </row>
    <row r="68" spans="7:8" ht="15.6" x14ac:dyDescent="0.3">
      <c r="G68" s="25" t="s">
        <v>50</v>
      </c>
      <c r="H68" s="28">
        <v>1</v>
      </c>
    </row>
    <row r="69" spans="7:8" ht="15.6" x14ac:dyDescent="0.3">
      <c r="G69" s="30" t="s">
        <v>51</v>
      </c>
      <c r="H69" s="31">
        <v>20</v>
      </c>
    </row>
    <row r="70" spans="7:8" ht="16.2" thickBot="1" x14ac:dyDescent="0.35">
      <c r="G70" s="26" t="s">
        <v>52</v>
      </c>
      <c r="H70" s="29">
        <v>6</v>
      </c>
    </row>
  </sheetData>
  <mergeCells count="1">
    <mergeCell ref="G58:H58"/>
  </mergeCells>
  <dataValidations count="2">
    <dataValidation type="list" allowBlank="1" showInputMessage="1" showErrorMessage="1" sqref="J5:J56" xr:uid="{6338A323-E42F-4CEE-87A6-4F816B0B7625}">
      <formula1>$A$8:$A$9</formula1>
    </dataValidation>
    <dataValidation type="list" allowBlank="1" showInputMessage="1" showErrorMessage="1" sqref="I5:I56" xr:uid="{53B88C87-9A1C-424F-9608-2C3ECAFA9FB9}">
      <formula1>$A$11:$A$12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C591-E738-4CAA-AB67-A4EC00D0DC27}">
  <dimension ref="A1:AC100"/>
  <sheetViews>
    <sheetView showGridLines="0" topLeftCell="A10" zoomScale="74" zoomScaleNormal="55" workbookViewId="0">
      <selection activeCell="O39" sqref="O39"/>
    </sheetView>
  </sheetViews>
  <sheetFormatPr defaultRowHeight="14.4" x14ac:dyDescent="0.3"/>
  <cols>
    <col min="1" max="1" width="13.6640625" bestFit="1" customWidth="1"/>
    <col min="2" max="2" width="14.21875" bestFit="1" customWidth="1"/>
    <col min="3" max="3" width="16.88671875" bestFit="1" customWidth="1"/>
    <col min="4" max="4" width="17" bestFit="1" customWidth="1"/>
    <col min="5" max="5" width="10.33203125" bestFit="1" customWidth="1"/>
    <col min="6" max="6" width="14.21875" bestFit="1" customWidth="1"/>
    <col min="7" max="7" width="12.88671875" bestFit="1" customWidth="1"/>
    <col min="8" max="8" width="17.77734375" bestFit="1" customWidth="1"/>
    <col min="9" max="9" width="21.21875" bestFit="1" customWidth="1"/>
    <col min="10" max="10" width="14.21875" bestFit="1" customWidth="1"/>
    <col min="11" max="11" width="12.44140625" bestFit="1" customWidth="1"/>
    <col min="12" max="12" width="16.77734375" bestFit="1" customWidth="1"/>
    <col min="13" max="13" width="13.33203125" bestFit="1" customWidth="1"/>
    <col min="14" max="14" width="17.109375" bestFit="1" customWidth="1"/>
    <col min="19" max="19" width="13.6640625" bestFit="1" customWidth="1"/>
    <col min="20" max="20" width="14.109375" bestFit="1" customWidth="1"/>
    <col min="21" max="21" width="19.77734375" bestFit="1" customWidth="1"/>
    <col min="23" max="23" width="17.21875" bestFit="1" customWidth="1"/>
    <col min="24" max="24" width="15.109375" bestFit="1" customWidth="1"/>
    <col min="25" max="25" width="13.6640625" bestFit="1" customWidth="1"/>
    <col min="26" max="26" width="19.77734375" bestFit="1" customWidth="1"/>
    <col min="27" max="27" width="13.6640625" bestFit="1" customWidth="1"/>
    <col min="28" max="28" width="22" bestFit="1" customWidth="1"/>
    <col min="29" max="29" width="17.77734375" bestFit="1" customWidth="1"/>
  </cols>
  <sheetData>
    <row r="1" spans="1:29" ht="14.55" customHeight="1" x14ac:dyDescent="0.3">
      <c r="A1" s="38" t="s">
        <v>36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16"/>
      <c r="N1" s="16"/>
    </row>
    <row r="2" spans="1:29" ht="14.55" customHeight="1" x14ac:dyDescent="0.3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16"/>
      <c r="N2" s="16"/>
    </row>
    <row r="3" spans="1:29" ht="14.55" customHeight="1" x14ac:dyDescent="0.3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16"/>
      <c r="N3" s="16"/>
    </row>
    <row r="4" spans="1:29" ht="14.55" customHeight="1" x14ac:dyDescent="0.3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16"/>
      <c r="N4" s="16"/>
    </row>
    <row r="5" spans="1:29" ht="14.55" customHeight="1" x14ac:dyDescent="0.3">
      <c r="A5" s="38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16"/>
      <c r="N5" s="16"/>
    </row>
    <row r="6" spans="1:29" x14ac:dyDescent="0.3">
      <c r="P6" s="16"/>
    </row>
    <row r="11" spans="1:29" x14ac:dyDescent="0.3">
      <c r="S11" s="1" t="s">
        <v>13</v>
      </c>
      <c r="T11" t="s">
        <v>35</v>
      </c>
      <c r="U11" t="s">
        <v>34</v>
      </c>
      <c r="W11" s="1" t="s">
        <v>13</v>
      </c>
      <c r="X11" t="s">
        <v>41</v>
      </c>
      <c r="Y11" t="s">
        <v>40</v>
      </c>
      <c r="AA11" s="1" t="s">
        <v>13</v>
      </c>
      <c r="AB11" t="s">
        <v>33</v>
      </c>
      <c r="AC11" t="s">
        <v>30</v>
      </c>
    </row>
    <row r="12" spans="1:29" x14ac:dyDescent="0.3">
      <c r="S12" s="2" t="s">
        <v>28</v>
      </c>
      <c r="T12">
        <v>45</v>
      </c>
      <c r="U12">
        <v>0</v>
      </c>
      <c r="W12" s="2" t="s">
        <v>24</v>
      </c>
      <c r="X12">
        <v>23</v>
      </c>
      <c r="Y12">
        <v>23</v>
      </c>
      <c r="AA12" s="2" t="s">
        <v>15</v>
      </c>
      <c r="AB12">
        <v>116</v>
      </c>
      <c r="AC12" s="15">
        <v>0.55238095238095242</v>
      </c>
    </row>
    <row r="13" spans="1:29" x14ac:dyDescent="0.3">
      <c r="S13" s="2" t="s">
        <v>8</v>
      </c>
      <c r="T13">
        <v>23</v>
      </c>
      <c r="U13">
        <v>23</v>
      </c>
      <c r="W13" s="2" t="s">
        <v>25</v>
      </c>
      <c r="X13">
        <v>52</v>
      </c>
      <c r="Y13">
        <v>30</v>
      </c>
      <c r="AA13" s="2" t="s">
        <v>14</v>
      </c>
      <c r="AB13">
        <v>94</v>
      </c>
      <c r="AC13" s="15">
        <v>0.44761904761904764</v>
      </c>
    </row>
    <row r="14" spans="1:29" x14ac:dyDescent="0.3">
      <c r="S14" s="2" t="s">
        <v>11</v>
      </c>
      <c r="T14">
        <v>31</v>
      </c>
      <c r="U14">
        <v>30</v>
      </c>
      <c r="W14" s="2" t="s">
        <v>27</v>
      </c>
      <c r="X14">
        <v>103</v>
      </c>
      <c r="Y14">
        <v>42</v>
      </c>
      <c r="AA14" s="2" t="s">
        <v>12</v>
      </c>
      <c r="AB14">
        <v>210</v>
      </c>
      <c r="AC14" s="15">
        <v>1</v>
      </c>
    </row>
    <row r="15" spans="1:29" x14ac:dyDescent="0.3">
      <c r="S15" s="2" t="s">
        <v>31</v>
      </c>
      <c r="T15">
        <v>26</v>
      </c>
      <c r="U15">
        <v>0</v>
      </c>
      <c r="W15" s="2" t="s">
        <v>26</v>
      </c>
      <c r="X15">
        <v>23</v>
      </c>
      <c r="Y15">
        <v>20</v>
      </c>
    </row>
    <row r="16" spans="1:29" x14ac:dyDescent="0.3">
      <c r="S16" s="2" t="s">
        <v>32</v>
      </c>
      <c r="T16">
        <v>52</v>
      </c>
      <c r="U16">
        <v>30</v>
      </c>
      <c r="W16" s="2" t="s">
        <v>12</v>
      </c>
      <c r="X16">
        <v>201</v>
      </c>
      <c r="Y16">
        <v>115</v>
      </c>
    </row>
    <row r="17" spans="19:26" x14ac:dyDescent="0.3">
      <c r="S17" s="2" t="s">
        <v>39</v>
      </c>
      <c r="T17">
        <v>33</v>
      </c>
      <c r="U17">
        <v>32</v>
      </c>
    </row>
    <row r="18" spans="19:26" x14ac:dyDescent="0.3">
      <c r="S18" s="2" t="s">
        <v>12</v>
      </c>
      <c r="T18">
        <v>210</v>
      </c>
      <c r="U18">
        <v>115</v>
      </c>
    </row>
    <row r="29" spans="19:26" x14ac:dyDescent="0.3">
      <c r="T29" s="11" t="s">
        <v>13</v>
      </c>
      <c r="U29" s="12" t="s">
        <v>37</v>
      </c>
      <c r="Y29" s="9" t="s">
        <v>13</v>
      </c>
      <c r="Z29" s="8" t="s">
        <v>37</v>
      </c>
    </row>
    <row r="30" spans="19:26" x14ac:dyDescent="0.3">
      <c r="T30" s="13" t="s">
        <v>31</v>
      </c>
      <c r="U30" s="12" t="e">
        <v>#DIV/0!</v>
      </c>
      <c r="Y30" s="10" t="s">
        <v>24</v>
      </c>
      <c r="Z30" s="8">
        <v>47.298478260869565</v>
      </c>
    </row>
    <row r="31" spans="19:26" x14ac:dyDescent="0.3">
      <c r="T31" s="14"/>
      <c r="U31" s="12" t="e">
        <v>#DIV/0!</v>
      </c>
      <c r="Y31" s="17" t="s">
        <v>9</v>
      </c>
      <c r="Z31" s="8">
        <v>55.796098125</v>
      </c>
    </row>
    <row r="32" spans="19:26" x14ac:dyDescent="0.3">
      <c r="T32" s="13" t="s">
        <v>28</v>
      </c>
      <c r="U32" s="12" t="e">
        <v>#DIV/0!</v>
      </c>
      <c r="Y32" s="17" t="s">
        <v>10</v>
      </c>
      <c r="Z32" s="8">
        <v>42.766414333333344</v>
      </c>
    </row>
    <row r="33" spans="20:26" x14ac:dyDescent="0.3">
      <c r="T33" s="14"/>
      <c r="U33" s="12" t="e">
        <v>#DIV/0!</v>
      </c>
      <c r="Y33" s="10" t="s">
        <v>25</v>
      </c>
      <c r="Z33" s="8">
        <v>69.404216666666656</v>
      </c>
    </row>
    <row r="34" spans="20:26" x14ac:dyDescent="0.3">
      <c r="T34" s="13" t="s">
        <v>8</v>
      </c>
      <c r="U34" s="12">
        <v>47.298478260869565</v>
      </c>
      <c r="Y34" s="17"/>
      <c r="Z34" s="8" t="e">
        <v>#DIV/0!</v>
      </c>
    </row>
    <row r="35" spans="20:26" x14ac:dyDescent="0.3">
      <c r="T35" s="14" t="s">
        <v>9</v>
      </c>
      <c r="U35" s="12">
        <v>55.796098125</v>
      </c>
      <c r="Y35" s="17" t="s">
        <v>9</v>
      </c>
      <c r="Z35" s="8">
        <v>55.332333333333331</v>
      </c>
    </row>
    <row r="36" spans="20:26" x14ac:dyDescent="0.3">
      <c r="T36" s="14" t="s">
        <v>10</v>
      </c>
      <c r="U36" s="12">
        <v>42.766414333333344</v>
      </c>
      <c r="Y36" s="17" t="s">
        <v>10</v>
      </c>
      <c r="Z36" s="8">
        <v>75.435023809523813</v>
      </c>
    </row>
    <row r="37" spans="20:26" x14ac:dyDescent="0.3">
      <c r="T37" s="13" t="s">
        <v>32</v>
      </c>
      <c r="U37" s="12">
        <v>53.014099999999999</v>
      </c>
      <c r="Y37" s="10" t="s">
        <v>27</v>
      </c>
      <c r="Z37" s="8">
        <v>58.833378378378391</v>
      </c>
    </row>
    <row r="38" spans="20:26" x14ac:dyDescent="0.3">
      <c r="T38" s="14">
        <v>0</v>
      </c>
      <c r="U38" s="12">
        <v>50.437428571428576</v>
      </c>
      <c r="Y38" s="17"/>
      <c r="Z38" s="8" t="e">
        <v>#DIV/0!</v>
      </c>
    </row>
    <row r="39" spans="20:26" x14ac:dyDescent="0.3">
      <c r="T39" s="14"/>
      <c r="U39" s="12" t="e">
        <v>#DIV/0!</v>
      </c>
      <c r="Y39" s="17" t="s">
        <v>9</v>
      </c>
      <c r="Z39" s="8">
        <v>43.866916666666668</v>
      </c>
    </row>
    <row r="40" spans="20:26" x14ac:dyDescent="0.3">
      <c r="T40" s="14" t="s">
        <v>9</v>
      </c>
      <c r="U40" s="12">
        <v>49.983000000000004</v>
      </c>
      <c r="Y40" s="17" t="s">
        <v>10</v>
      </c>
      <c r="Z40" s="8">
        <v>61.730112903225809</v>
      </c>
    </row>
    <row r="41" spans="20:26" x14ac:dyDescent="0.3">
      <c r="T41" s="14" t="s">
        <v>10</v>
      </c>
      <c r="U41" s="12">
        <v>54.601526315789492</v>
      </c>
      <c r="Y41" s="17" t="s">
        <v>38</v>
      </c>
      <c r="Z41" s="8" t="e">
        <v>#DIV/0!</v>
      </c>
    </row>
    <row r="42" spans="20:26" x14ac:dyDescent="0.3">
      <c r="T42" s="14" t="s">
        <v>38</v>
      </c>
      <c r="U42" s="12" t="e">
        <v>#DIV/0!</v>
      </c>
      <c r="Y42" s="10" t="s">
        <v>26</v>
      </c>
      <c r="Z42" s="8">
        <v>43.37436842105263</v>
      </c>
    </row>
    <row r="43" spans="20:26" x14ac:dyDescent="0.3">
      <c r="T43" s="13" t="s">
        <v>11</v>
      </c>
      <c r="U43" s="12">
        <v>69.404216666666656</v>
      </c>
      <c r="Y43" s="17"/>
      <c r="Z43" s="8" t="e">
        <v>#DIV/0!</v>
      </c>
    </row>
    <row r="44" spans="20:26" x14ac:dyDescent="0.3">
      <c r="T44" s="14"/>
      <c r="U44" s="12" t="e">
        <v>#DIV/0!</v>
      </c>
      <c r="Y44" s="17" t="s">
        <v>9</v>
      </c>
      <c r="Z44" s="8">
        <v>42.993437500000006</v>
      </c>
    </row>
    <row r="45" spans="20:26" x14ac:dyDescent="0.3">
      <c r="T45" s="14" t="s">
        <v>9</v>
      </c>
      <c r="U45" s="12">
        <v>55.332333333333331</v>
      </c>
      <c r="Y45" s="17" t="s">
        <v>10</v>
      </c>
      <c r="Z45" s="8">
        <v>43.651409090909091</v>
      </c>
    </row>
    <row r="46" spans="20:26" x14ac:dyDescent="0.3">
      <c r="T46" s="14" t="s">
        <v>10</v>
      </c>
      <c r="U46" s="12">
        <v>75.435023809523813</v>
      </c>
      <c r="Y46" s="10" t="s">
        <v>29</v>
      </c>
      <c r="Z46" s="8" t="e">
        <v>#DIV/0!</v>
      </c>
    </row>
    <row r="47" spans="20:26" x14ac:dyDescent="0.3">
      <c r="T47" s="13" t="s">
        <v>39</v>
      </c>
      <c r="U47" s="12">
        <v>53.442030303030293</v>
      </c>
      <c r="Y47" s="17"/>
      <c r="Z47" s="8" t="e">
        <v>#DIV/0!</v>
      </c>
    </row>
    <row r="48" spans="20:26" x14ac:dyDescent="0.3">
      <c r="T48" s="14" t="s">
        <v>9</v>
      </c>
      <c r="U48" s="12">
        <v>40.721699999999998</v>
      </c>
      <c r="Y48" s="10" t="s">
        <v>12</v>
      </c>
      <c r="Z48" s="8">
        <v>56.614123853211005</v>
      </c>
    </row>
    <row r="49" spans="20:21" x14ac:dyDescent="0.3">
      <c r="T49" s="14" t="s">
        <v>10</v>
      </c>
      <c r="U49" s="12">
        <v>58.97260869565217</v>
      </c>
    </row>
    <row r="50" spans="20:21" x14ac:dyDescent="0.3">
      <c r="T50" s="13" t="s">
        <v>12</v>
      </c>
      <c r="U50" s="12">
        <v>56.241392241379316</v>
      </c>
    </row>
    <row r="93" spans="1:1" x14ac:dyDescent="0.3">
      <c r="A93" s="1" t="s">
        <v>13</v>
      </c>
    </row>
    <row r="94" spans="1:1" x14ac:dyDescent="0.3">
      <c r="A94" s="2" t="s">
        <v>31</v>
      </c>
    </row>
    <row r="95" spans="1:1" x14ac:dyDescent="0.3">
      <c r="A95" s="2" t="s">
        <v>28</v>
      </c>
    </row>
    <row r="96" spans="1:1" x14ac:dyDescent="0.3">
      <c r="A96" s="2" t="s">
        <v>8</v>
      </c>
    </row>
    <row r="97" spans="1:1" x14ac:dyDescent="0.3">
      <c r="A97" s="2" t="s">
        <v>11</v>
      </c>
    </row>
    <row r="98" spans="1:1" x14ac:dyDescent="0.3">
      <c r="A98" s="2" t="s">
        <v>32</v>
      </c>
    </row>
    <row r="99" spans="1:1" x14ac:dyDescent="0.3">
      <c r="A99" s="2" t="s">
        <v>39</v>
      </c>
    </row>
    <row r="100" spans="1:1" x14ac:dyDescent="0.3">
      <c r="A100" s="2" t="s">
        <v>12</v>
      </c>
    </row>
  </sheetData>
  <mergeCells count="1">
    <mergeCell ref="A1:L5"/>
  </mergeCell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 sampling results</vt:lpstr>
      <vt:lpstr>New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Tzuk</dc:creator>
  <cp:lastModifiedBy>Nitzan Bauer</cp:lastModifiedBy>
  <dcterms:created xsi:type="dcterms:W3CDTF">2024-11-19T14:07:12Z</dcterms:created>
  <dcterms:modified xsi:type="dcterms:W3CDTF">2026-04-28T09:00:33Z</dcterms:modified>
</cp:coreProperties>
</file>