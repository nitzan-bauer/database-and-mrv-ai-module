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2" documentId="11_B1276178D34E9B3179EE3D19A12A29CCD41521C5" xr6:coauthVersionLast="47" xr6:coauthVersionMax="47" xr10:uidLastSave="{FBBA8300-7C62-4CE0-81E5-56789667E199}"/>
  <bookViews>
    <workbookView xWindow="-108" yWindow="-108" windowWidth="23256" windowHeight="13896" firstSheet="8" activeTab="12" xr2:uid="{00000000-000D-0000-FFFF-FFFF00000000}"/>
  </bookViews>
  <sheets>
    <sheet name="Cover" sheetId="1" r:id="rId1"/>
    <sheet name="README" sheetId="2" r:id="rId2"/>
    <sheet name="Fixed Parameters" sheetId="3" r:id="rId3"/>
    <sheet name="Fertilizer Library" sheetId="4" r:id="rId4"/>
    <sheet name="Machinery-Diesel" sheetId="5" r:id="rId5"/>
    <sheet name="Baseline Inputs" sheetId="6" r:id="rId6"/>
    <sheet name="Project Inputs" sheetId="7" r:id="rId7"/>
    <sheet name="Baseline Emissions" sheetId="8" r:id="rId8"/>
    <sheet name="Project Emissions" sheetId="9" r:id="rId9"/>
    <sheet name="Net Reductions" sheetId="10" r:id="rId10"/>
    <sheet name="SOC Removals (QA1)" sheetId="11" r:id="rId11"/>
    <sheet name="Leakage" sheetId="12" r:id="rId12"/>
    <sheet name="Project Summary (VVB)" sheetId="13" r:id="rId13"/>
    <sheet name="Index" sheetId="14" r:id="rId14"/>
    <sheet name="Sheet1" sheetId="16" r:id="rId15"/>
    <sheet name="Equations" sheetId="15" r:id="rId1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3" l="1"/>
  <c r="C10" i="13"/>
  <c r="G16" i="12"/>
  <c r="C18" i="13" s="1"/>
  <c r="C6" i="12"/>
  <c r="B6" i="12"/>
  <c r="D6" i="12" s="1"/>
  <c r="G6" i="12" s="1"/>
  <c r="C5" i="12"/>
  <c r="B5" i="12"/>
  <c r="D5" i="12" s="1"/>
  <c r="G5" i="12" s="1"/>
  <c r="G7" i="12" s="1"/>
  <c r="G17" i="12" s="1"/>
  <c r="C23" i="13" s="1"/>
  <c r="F12" i="11"/>
  <c r="H12" i="11" s="1"/>
  <c r="I12" i="11" s="1"/>
  <c r="B12" i="11"/>
  <c r="H11" i="11"/>
  <c r="I11" i="11" s="1"/>
  <c r="I13" i="11" s="1"/>
  <c r="C17" i="13" s="1"/>
  <c r="F11" i="11"/>
  <c r="B11" i="11"/>
  <c r="B7" i="11"/>
  <c r="H6" i="11"/>
  <c r="I6" i="11" s="1"/>
  <c r="F6" i="11"/>
  <c r="F5" i="11"/>
  <c r="H5" i="11" s="1"/>
  <c r="I5" i="11" s="1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A9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A8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A7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A6" i="9"/>
  <c r="L5" i="9"/>
  <c r="C5" i="9"/>
  <c r="K5" i="9" s="1"/>
  <c r="B5" i="9"/>
  <c r="A5" i="9"/>
  <c r="C4" i="9"/>
  <c r="L4" i="9" s="1"/>
  <c r="B4" i="9"/>
  <c r="A4" i="9"/>
  <c r="A2" i="9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A13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A12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A11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A10" i="8"/>
  <c r="L9" i="8"/>
  <c r="K9" i="8"/>
  <c r="C9" i="8"/>
  <c r="B9" i="8"/>
  <c r="A9" i="8"/>
  <c r="M8" i="8"/>
  <c r="L8" i="8"/>
  <c r="C8" i="8"/>
  <c r="K8" i="8" s="1"/>
  <c r="B8" i="8"/>
  <c r="A8" i="8"/>
  <c r="C7" i="8"/>
  <c r="L7" i="8" s="1"/>
  <c r="B7" i="8"/>
  <c r="A7" i="8"/>
  <c r="L6" i="8"/>
  <c r="K6" i="8"/>
  <c r="C6" i="8"/>
  <c r="B6" i="8"/>
  <c r="A6" i="8"/>
  <c r="L5" i="8"/>
  <c r="K5" i="8"/>
  <c r="C5" i="8"/>
  <c r="B5" i="8"/>
  <c r="A5" i="8"/>
  <c r="C4" i="8"/>
  <c r="L4" i="8" s="1"/>
  <c r="B4" i="8"/>
  <c r="A4" i="8"/>
  <c r="A2" i="8"/>
  <c r="P11" i="7"/>
  <c r="M11" i="7"/>
  <c r="J11" i="7"/>
  <c r="F11" i="7"/>
  <c r="P10" i="7"/>
  <c r="M10" i="7"/>
  <c r="J10" i="7"/>
  <c r="F10" i="7"/>
  <c r="P9" i="7"/>
  <c r="M9" i="7"/>
  <c r="J9" i="7"/>
  <c r="F9" i="7"/>
  <c r="P8" i="7"/>
  <c r="M8" i="7"/>
  <c r="J8" i="7"/>
  <c r="F8" i="7"/>
  <c r="P7" i="7"/>
  <c r="M7" i="7"/>
  <c r="J7" i="7"/>
  <c r="D5" i="9" s="1"/>
  <c r="F7" i="7"/>
  <c r="E5" i="9" s="1"/>
  <c r="P6" i="7"/>
  <c r="M6" i="7"/>
  <c r="J6" i="7"/>
  <c r="D4" i="9" s="1"/>
  <c r="F6" i="7"/>
  <c r="E4" i="9" s="1"/>
  <c r="P15" i="6"/>
  <c r="M15" i="6"/>
  <c r="J15" i="6"/>
  <c r="F15" i="6"/>
  <c r="P14" i="6"/>
  <c r="M14" i="6"/>
  <c r="J14" i="6"/>
  <c r="F14" i="6"/>
  <c r="P13" i="6"/>
  <c r="M13" i="6"/>
  <c r="J13" i="6"/>
  <c r="F13" i="6"/>
  <c r="P12" i="6"/>
  <c r="M12" i="6"/>
  <c r="J12" i="6"/>
  <c r="F12" i="6"/>
  <c r="P11" i="6"/>
  <c r="M11" i="6"/>
  <c r="J11" i="6"/>
  <c r="D9" i="8" s="1"/>
  <c r="F11" i="6"/>
  <c r="E9" i="8" s="1"/>
  <c r="P10" i="6"/>
  <c r="M10" i="6"/>
  <c r="J10" i="6"/>
  <c r="D8" i="8" s="1"/>
  <c r="F10" i="6"/>
  <c r="E8" i="8" s="1"/>
  <c r="P9" i="6"/>
  <c r="M9" i="6"/>
  <c r="J9" i="6"/>
  <c r="D7" i="8" s="1"/>
  <c r="F9" i="6"/>
  <c r="E7" i="8" s="1"/>
  <c r="P8" i="6"/>
  <c r="M8" i="6"/>
  <c r="J8" i="6"/>
  <c r="D6" i="8" s="1"/>
  <c r="F8" i="6"/>
  <c r="E6" i="8" s="1"/>
  <c r="P7" i="6"/>
  <c r="M7" i="6"/>
  <c r="J7" i="6"/>
  <c r="D5" i="8" s="1"/>
  <c r="F7" i="6"/>
  <c r="E5" i="8" s="1"/>
  <c r="P6" i="6"/>
  <c r="M6" i="6"/>
  <c r="J6" i="6"/>
  <c r="D4" i="8" s="1"/>
  <c r="F6" i="6"/>
  <c r="E4" i="8" s="1"/>
  <c r="C8" i="5"/>
  <c r="H8" i="5" s="1"/>
  <c r="C7" i="5"/>
  <c r="H7" i="5" s="1"/>
  <c r="C6" i="5"/>
  <c r="H6" i="5" s="1"/>
  <c r="C5" i="5"/>
  <c r="H5" i="5" s="1"/>
  <c r="B25" i="3"/>
  <c r="B21" i="3"/>
  <c r="B16" i="3"/>
  <c r="M9" i="8" s="1"/>
  <c r="C25" i="1"/>
  <c r="H4" i="9" l="1"/>
  <c r="G4" i="9"/>
  <c r="F4" i="9"/>
  <c r="H4" i="8"/>
  <c r="G4" i="8"/>
  <c r="I4" i="8" s="1"/>
  <c r="F4" i="8"/>
  <c r="J4" i="8" s="1"/>
  <c r="H8" i="8"/>
  <c r="G8" i="8"/>
  <c r="I8" i="8" s="1"/>
  <c r="F8" i="8"/>
  <c r="J8" i="8" s="1"/>
  <c r="N8" i="8" s="1"/>
  <c r="O8" i="8" s="1"/>
  <c r="H5" i="8"/>
  <c r="G5" i="8"/>
  <c r="F5" i="8"/>
  <c r="H9" i="8"/>
  <c r="G9" i="8"/>
  <c r="I9" i="8" s="1"/>
  <c r="F9" i="8"/>
  <c r="J9" i="8" s="1"/>
  <c r="N9" i="8"/>
  <c r="O9" i="8" s="1"/>
  <c r="I7" i="11"/>
  <c r="C22" i="13" s="1"/>
  <c r="C24" i="13" s="1"/>
  <c r="C30" i="13" s="1"/>
  <c r="F7" i="8"/>
  <c r="H7" i="8"/>
  <c r="G7" i="8"/>
  <c r="H5" i="9"/>
  <c r="G5" i="9"/>
  <c r="F5" i="9"/>
  <c r="G6" i="8"/>
  <c r="F6" i="8"/>
  <c r="H6" i="8"/>
  <c r="H9" i="5"/>
  <c r="M4" i="9"/>
  <c r="K4" i="8"/>
  <c r="M5" i="9"/>
  <c r="B5" i="10"/>
  <c r="M4" i="8"/>
  <c r="M5" i="8"/>
  <c r="K7" i="8"/>
  <c r="I5" i="10" s="1"/>
  <c r="M6" i="8"/>
  <c r="M7" i="8"/>
  <c r="B4" i="10"/>
  <c r="K4" i="9"/>
  <c r="I7" i="8" l="1"/>
  <c r="N4" i="8"/>
  <c r="I4" i="10"/>
  <c r="B6" i="10"/>
  <c r="C11" i="13" s="1"/>
  <c r="J4" i="9"/>
  <c r="N4" i="9" s="1"/>
  <c r="I6" i="8"/>
  <c r="J6" i="8" s="1"/>
  <c r="N6" i="8" s="1"/>
  <c r="O6" i="8" s="1"/>
  <c r="I4" i="9"/>
  <c r="J7" i="8"/>
  <c r="J5" i="8"/>
  <c r="N7" i="8"/>
  <c r="I5" i="9"/>
  <c r="J5" i="9" s="1"/>
  <c r="N5" i="9" s="1"/>
  <c r="I5" i="8"/>
  <c r="O4" i="9" l="1"/>
  <c r="D4" i="10"/>
  <c r="C13" i="13" s="1"/>
  <c r="O5" i="9"/>
  <c r="D5" i="10"/>
  <c r="N5" i="8"/>
  <c r="O5" i="8" s="1"/>
  <c r="J4" i="10"/>
  <c r="O7" i="8"/>
  <c r="C5" i="10"/>
  <c r="E5" i="10" s="1"/>
  <c r="F5" i="10" s="1"/>
  <c r="H5" i="10" s="1"/>
  <c r="J5" i="10"/>
  <c r="O4" i="8"/>
  <c r="C4" i="10"/>
  <c r="E4" i="10" l="1"/>
  <c r="F4" i="10" s="1"/>
  <c r="C12" i="13"/>
  <c r="H4" i="10" l="1"/>
  <c r="H6" i="10" s="1"/>
  <c r="F6" i="10"/>
  <c r="C16" i="13" s="1"/>
  <c r="C19" i="13" s="1"/>
  <c r="C29" i="13" s="1"/>
  <c r="C32" i="13" s="1"/>
</calcChain>
</file>

<file path=xl/sharedStrings.xml><?xml version="1.0" encoding="utf-8"?>
<sst xmlns="http://schemas.openxmlformats.org/spreadsheetml/2006/main" count="772" uniqueCount="527">
  <si>
    <t>ERR Quantification Spreadsheet</t>
  </si>
  <si>
    <t>Verra VCS · VM0042 v2.2 (Improved Agricultural Land Management) · prepared for VVB validation/verification</t>
  </si>
  <si>
    <t>1 · Project identification</t>
  </si>
  <si>
    <t>Project title</t>
  </si>
  <si>
    <t>«enter»</t>
  </si>
  <si>
    <t>VCS project ID</t>
  </si>
  <si>
    <t>Project proponent</t>
  </si>
  <si>
    <t>CarboNature</t>
  </si>
  <si>
    <t>Country / region</t>
  </si>
  <si>
    <t>Crop(s) — open field</t>
  </si>
  <si>
    <t>Methodology</t>
  </si>
  <si>
    <t>VM0042 v2.2 (Improved Agricultural Land Management)</t>
  </si>
  <si>
    <t>Module</t>
  </si>
  <si>
    <t>VMD0053 (Model Calibration, Validation &amp; Uncertainty)</t>
  </si>
  <si>
    <t>Applicable when SOC / soil N₂O use QA1.</t>
  </si>
  <si>
    <t>Crediting period</t>
  </si>
  <si>
    <t>Monitoring / reporting period</t>
  </si>
  <si>
    <t>Prepared by</t>
  </si>
  <si>
    <t>Date</t>
  </si>
  <si>
    <t>Spreadsheet version</t>
  </si>
  <si>
    <t>v1.0</t>
  </si>
  <si>
    <t>2 · GHG accounting basis</t>
  </si>
  <si>
    <t>GWP source</t>
  </si>
  <si>
    <t>IPCC AR5 (2013): N₂O = 265, CH₄ = 28</t>
  </si>
  <si>
    <t>Mandated by VM0042 v2.2. Editable in "Fixed Parameters".</t>
  </si>
  <si>
    <t>Emission factors</t>
  </si>
  <si>
    <t>IPCC 2019 Refinement (default factors, QA3)</t>
  </si>
  <si>
    <t>EF_N_direct, Frac_GASF/GASM, Frac_LEACH, etc. — see "Fixed Parameters" + "Index".</t>
  </si>
  <si>
    <t>Conservativeness</t>
  </si>
  <si>
    <t>EF_N_direct 0.013↓ / 0.019↑ per project N trend (§8.3)</t>
  </si>
  <si>
    <t>3 · Quantification approach map (per pool/source) — §8.1</t>
  </si>
  <si>
    <t>Pool / source</t>
  </si>
  <si>
    <t>Approach</t>
  </si>
  <si>
    <t>Computed in</t>
  </si>
  <si>
    <t>SOC stock change (removals)</t>
  </si>
  <si>
    <t>SOC Removals (QA1)</t>
  </si>
  <si>
    <t>Soil N₂O (fertilizer + N-fixing)</t>
  </si>
  <si>
    <t>={selector}</t>
  </si>
  <si>
    <t>Baseline Emissions / SOC Removals (QA1)</t>
  </si>
  <si>
    <t>Fossil-fuel CO₂</t>
  </si>
  <si>
    <t>QA3 — Default factors</t>
  </si>
  <si>
    <t>Baseline Emissions / Project Emissions</t>
  </si>
  <si>
    <t>Residue-burning N₂O</t>
  </si>
  <si>
    <t>Each source uses the SAME approach in baseline and project; strata on different approaches are accounted separately (no double-counting).</t>
  </si>
  <si>
    <t>4 · ERR traceability map (equation → sheet)</t>
  </si>
  <si>
    <t>Quantity</t>
  </si>
  <si>
    <t>VM0042 eq.</t>
  </si>
  <si>
    <t>Sheet</t>
  </si>
  <si>
    <t>Column</t>
  </si>
  <si>
    <t>CO₂ from fossil fuel</t>
  </si>
  <si>
    <t>6, 7</t>
  </si>
  <si>
    <t>K</t>
  </si>
  <si>
    <t>N₂O direct (fertilizer N)</t>
  </si>
  <si>
    <t>18, 19, 20</t>
  </si>
  <si>
    <t>F (FSN/FON in D,E)</t>
  </si>
  <si>
    <t>N₂O indirect (volat. + leach.)</t>
  </si>
  <si>
    <t>21, 22, 23</t>
  </si>
  <si>
    <t>G, H, I</t>
  </si>
  <si>
    <t>N₂O from N-fixing residue</t>
  </si>
  <si>
    <t>24, 25</t>
  </si>
  <si>
    <t>M</t>
  </si>
  <si>
    <t>N₂O from residue burning</t>
  </si>
  <si>
    <t>32</t>
  </si>
  <si>
    <t>L</t>
  </si>
  <si>
    <t>Net reductions (baseline − project)</t>
  </si>
  <si>
    <t>37, 38</t>
  </si>
  <si>
    <t>Net Reductions</t>
  </si>
  <si>
    <t>H</t>
  </si>
  <si>
    <t>SOC removals</t>
  </si>
  <si>
    <t>4, 5, 40, 41</t>
  </si>
  <si>
    <t>I</t>
  </si>
  <si>
    <t>Estimated VCUs</t>
  </si>
  <si>
    <t>—</t>
  </si>
  <si>
    <t>Project Summary (VVB)</t>
  </si>
  <si>
    <t>5 · Companion documents (VVB package)</t>
  </si>
  <si>
    <t>Model Validation Report (MVR)</t>
  </si>
  <si>
    <t>Proponent-authored, per VMD0053</t>
  </si>
  <si>
    <t>Required under QA1. See MVR template/skeleton.</t>
  </si>
  <si>
    <t>IME Assessment Report</t>
  </si>
  <si>
    <t>Authored by the IME hired by the VVB</t>
  </si>
  <si>
    <t>Confirms model applicability, calibration, prediction error.</t>
  </si>
  <si>
    <t>ESM worksheet (SOC)</t>
  </si>
  <si>
    <t>Wendt &amp; Hauser 2013 (Verra)</t>
  </si>
  <si>
    <t>Equivalent Soil Mass for SOC stock comparison (QA1/QA2).</t>
  </si>
  <si>
    <t>Methodology &amp; corrections</t>
  </si>
  <si>
    <t>VM0042 v2.2 PDF + Corrections 11JUN2026</t>
  </si>
  <si>
    <t>6 · Version control</t>
  </si>
  <si>
    <t>Version</t>
  </si>
  <si>
    <t>Author</t>
  </si>
  <si>
    <t>Summary of changes</t>
  </si>
  <si>
    <t>Initial ERR quantification spreadsheet</t>
  </si>
  <si>
    <t>CarboNature — GHG Calculator</t>
  </si>
  <si>
    <t>VM0042 v2.2 · Improved Agricultural Land Management · Open-Field crops · Quantification Approach 3 (Default Factors)</t>
  </si>
  <si>
    <t>Purpose</t>
  </si>
  <si>
    <t>Computes baseline and project GHG emissions from nitrogen fertilizers and fossil fuel, per quantification unit (farm/plot) per year, for multi-year monitoring under Verra VM0042 v2.2. Output is VVB-audit ready.</t>
  </si>
  <si>
    <t>VM0042 v2.2 (Improved ALM). Emission factors per the 2019 Refinement to the 2006 IPCC Guidelines, Vol.4 Ch.11 (N2O) &amp; Ch.2/Vol.2 Ch.3 (fuel, burning). GWP per IPCC AR5 (2013).</t>
  </si>
  <si>
    <t>Scope (Phase 1)</t>
  </si>
  <si>
    <t>Open-field crops only (NOT orchards/groves/forests). Sources: CO2 from fossil-fuel combustion; direct &amp; indirect N2O from synthetic + organic N fertilizers; N2O from N-fixing crop residues; N2O from agricultural-residue burning.</t>
  </si>
  <si>
    <t>Out of scope (Phase 2)</t>
  </si>
  <si>
    <t>Leakage (activity-shifting / market / ecological); SOC modeling; liming &amp; urea CO2; rice CH4; manure-deposition N2O from grazing. Placeholders are included where relevant.</t>
  </si>
  <si>
    <t>Baseline rule</t>
  </si>
  <si>
    <t>Baseline = average of the 3 years preceding the project start date (enter the 3 years per farm in "Baseline Inputs").</t>
  </si>
  <si>
    <t>How to read the colours</t>
  </si>
  <si>
    <t>INPUT (yellow) — enter your activity data here (invoices, declarations, machinery, etc.)</t>
  </si>
  <si>
    <t>CALCULATED (grey) — live formula, do not overwrite</t>
  </si>
  <si>
    <t>FIXED PARAMETER (blue) — emission factors &amp; constants, defaulted to VM0042 v2.2 / IPCC 2019. Editable only with documented justification.</t>
  </si>
  <si>
    <t>REMOVALS / QA1 (purple) — soil-carbon (SOC) measure-&amp;-model inputs for the hybrid model.</t>
  </si>
  <si>
    <t>Sheet guide</t>
  </si>
  <si>
    <t>Index</t>
  </si>
  <si>
    <t>Every variable &amp; parameter: symbol, unit, equation, description, source.</t>
  </si>
  <si>
    <t>Equations</t>
  </si>
  <si>
    <t>Every VM0042 v2.2 equation used, written out with plain explanation.</t>
  </si>
  <si>
    <t>Fixed Parameters</t>
  </si>
  <si>
    <t>Emission factors, GWP, fractions — with climate-zone &amp; conservativeness logic.</t>
  </si>
  <si>
    <t>Fertilizer Library</t>
  </si>
  <si>
    <t>Common fertilizers &amp; their N content (auto-looked-up by name).</t>
  </si>
  <si>
    <t>Machinery-Diesel</t>
  </si>
  <si>
    <t>Convert machinery HP × hours/ha × area → diesel litres (feeds fuel input).</t>
  </si>
  <si>
    <t>Baseline / Project Inputs</t>
  </si>
  <si>
    <t>Activity data per farm-year (fertilizers, fuel, residues, N-fixing).</t>
  </si>
  <si>
    <t>Baseline / Project Emissions</t>
  </si>
  <si>
    <t>Per-row computed emissions (live formulas).</t>
  </si>
  <si>
    <t>Baseline − Project per source = emission reductions (+ leakage placeholder).</t>
  </si>
  <si>
    <t>Roll-up across all farms — the sheet to hand to the VVB.</t>
  </si>
  <si>
    <t>Defaults per VM0042 v2.2 &amp; IPCC 2019 Refinement. Editable — change only with documented justification.</t>
  </si>
  <si>
    <t>Parameter</t>
  </si>
  <si>
    <t>Value</t>
  </si>
  <si>
    <t>Unit</t>
  </si>
  <si>
    <t>Eq.</t>
  </si>
  <si>
    <t>Source / Note</t>
  </si>
  <si>
    <t>Climate zone</t>
  </si>
  <si>
    <t>wet</t>
  </si>
  <si>
    <t>wet = precip/PET &gt; 1 (or tropical &gt;1000 mm/yr); else dry. Drives EF_N_direct &amp; Frac_LEACH.</t>
  </si>
  <si>
    <t>Dry-climate irrigation?</t>
  </si>
  <si>
    <t>no</t>
  </si>
  <si>
    <t>Only used when climate = dry. "yes" (non-drip irrigation) keeps Frac_LEACH = 0.24.</t>
  </si>
  <si>
    <t>Project N trend vs baseline</t>
  </si>
  <si>
    <t>decrease</t>
  </si>
  <si>
    <t>Conservativeness rule (VM0042 §8.3): decrease→EF_N_direct 0.013 (low); increase→0.019 (high); flat→0.016.</t>
  </si>
  <si>
    <t>Soil N2O approach</t>
  </si>
  <si>
    <t>QA3</t>
  </si>
  <si>
    <t>QA3 = default EF (computed on the emissions sheets). QA1 = soil N2O is MODELED in the "SOC Removals (QA1)" sheet; the QA3 N2O is then shown for reference but EXCLUDED from totals to prevent double-counting (§8.1). Fuel CO2 stays QA3 either way.</t>
  </si>
  <si>
    <t>EF_CO2_diesel</t>
  </si>
  <si>
    <t>t CO2e/L</t>
  </si>
  <si>
    <t>7</t>
  </si>
  <si>
    <t>VM0042 v2.2; IPCC 2019 Vol.2 Ch.3 Table 3.3.1</t>
  </si>
  <si>
    <t>EF_CO2_gasoline</t>
  </si>
  <si>
    <t>GWP_N2O</t>
  </si>
  <si>
    <t>t CO2e/t N2O</t>
  </si>
  <si>
    <t>18,22-24</t>
  </si>
  <si>
    <t>IPCC AR5 (2013), mandated by VM0042 v2.2. Override to 273 only if VCS Standard adopts AR6.</t>
  </si>
  <si>
    <t>EF_N_direct_wet</t>
  </si>
  <si>
    <t>t N2O-N/t N</t>
  </si>
  <si>
    <t>18,24</t>
  </si>
  <si>
    <t>IPCC 2019 Table 11.1 (synthetic, wet). Range 0.013-0.019.</t>
  </si>
  <si>
    <t>EF_N_direct_dry</t>
  </si>
  <si>
    <t>IPCC 2019 Table 11.1 (all N, dry). Range 0.000-0.011.</t>
  </si>
  <si>
    <t>EF_N_direct_low</t>
  </si>
  <si>
    <t>Conservative low end (wet) — used when project N decreases.</t>
  </si>
  <si>
    <t>EF_N_direct_high</t>
  </si>
  <si>
    <t>Conservative high end (wet) — used when project N increases.</t>
  </si>
  <si>
    <t>EF_N_direct (applied)</t>
  </si>
  <si>
    <t>Auto-selected from climate zone + conservativeness direction above. This is the value the engine uses.</t>
  </si>
  <si>
    <t>Frac_GASF</t>
  </si>
  <si>
    <t>dimensionless</t>
  </si>
  <si>
    <t>22</t>
  </si>
  <si>
    <t>IPCC 2019 Table 11.3 (synthetic N volatilised, aggregated).</t>
  </si>
  <si>
    <t>Frac_GASM</t>
  </si>
  <si>
    <t>IPCC 2019 Table 11.3 (organic N volatilised).</t>
  </si>
  <si>
    <t>EF_N_volat</t>
  </si>
  <si>
    <t>IPCC 2019 Table 11.3 (EF4, atmospheric deposition).</t>
  </si>
  <si>
    <t>Frac_LEACH_wet</t>
  </si>
  <si>
    <t>23</t>
  </si>
  <si>
    <t>IPCC 2019 Table 11.3 (wet, or dry+non-drip irrigation).</t>
  </si>
  <si>
    <t>Frac_LEACH (applied)</t>
  </si>
  <si>
    <t>Auto: 0.24 for wet / dry-irrigated; 0 otherwise.</t>
  </si>
  <si>
    <t>EF_N_leach</t>
  </si>
  <si>
    <t>IPCC 2019 Table 11.3 (EF5, leaching/runoff).</t>
  </si>
  <si>
    <t>Cf_combustion</t>
  </si>
  <si>
    <t>fraction</t>
  </si>
  <si>
    <t>IPCC 2019 Vol.4 Table 2.6 (combustion factor). Verify per crop.</t>
  </si>
  <si>
    <t>EF_c_N2O</t>
  </si>
  <si>
    <t>g N2O/kg d.m.</t>
  </si>
  <si>
    <t>IPCC 2019 Vol.4 Table 2.5 (N2O from residue burning).</t>
  </si>
  <si>
    <t>N2O_N_to_N2O</t>
  </si>
  <si>
    <t>ratio</t>
  </si>
  <si>
    <t>all</t>
  </si>
  <si>
    <t>Molar mass N2O / N2 (converts N2O-N to N2O).</t>
  </si>
  <si>
    <t>N content auto-looked-up by exact name from the Inputs sheets. Add rows for any fertilizer you use.</t>
  </si>
  <si>
    <t>Fertilizer name</t>
  </si>
  <si>
    <t>N content
(t N/t)</t>
  </si>
  <si>
    <t>Class</t>
  </si>
  <si>
    <t>Density
(t/m³)</t>
  </si>
  <si>
    <t>Note</t>
  </si>
  <si>
    <t>Urea 46-0-0</t>
  </si>
  <si>
    <t>synthetic-urea</t>
  </si>
  <si>
    <t>Solid urea</t>
  </si>
  <si>
    <t>UAN / Uran 32-0-0</t>
  </si>
  <si>
    <t>Liquid urea-ammonium-nitrate</t>
  </si>
  <si>
    <t>Ammonium nitrate 34-0-0</t>
  </si>
  <si>
    <t>synthetic-other</t>
  </si>
  <si>
    <t>Ammonium sulphate 21-0-0</t>
  </si>
  <si>
    <t>Ammonium nitrate solution 21%</t>
  </si>
  <si>
    <t>Ammonium nitrate sulphur sol. 12%</t>
  </si>
  <si>
    <t>N-P-K 8-0-8</t>
  </si>
  <si>
    <t>Potassium-rich blend</t>
  </si>
  <si>
    <t>N-P-K 9-0-9</t>
  </si>
  <si>
    <t>N-P-K 12-1-6</t>
  </si>
  <si>
    <t>N-P-K 15-15-15</t>
  </si>
  <si>
    <t>N-P-K 20-20-20</t>
  </si>
  <si>
    <t>MAP 11-52-0</t>
  </si>
  <si>
    <t>DAP 18-46-0</t>
  </si>
  <si>
    <t>Potassium nitrate 13-0-46</t>
  </si>
  <si>
    <t>Calcium nitrate 15.5-0-0</t>
  </si>
  <si>
    <t>Compost (generic)</t>
  </si>
  <si>
    <t>organic</t>
  </si>
  <si>
    <t>N ~1-2.5% d.m.; confirm by lab. m³×density = tonnes.</t>
  </si>
  <si>
    <t>Manure (cattle, solid)</t>
  </si>
  <si>
    <t>Confirm N by analysis.</t>
  </si>
  <si>
    <t>Manure (poultry)</t>
  </si>
  <si>
    <t>Machinery → Diesel</t>
  </si>
  <si>
    <t>Estimate diesel litres from machinery when fuel invoices are unavailable. Litre total can be pasted into the fuel column of an Inputs row.</t>
  </si>
  <si>
    <t>Formula:  Diesel (L) = Rated power (kW) × Load factor × SFC (L/kWh) × Hours per ha × Area (ha).   Rated kW = HP × 0.7457.   Default SFC ≈ 0.27 L/kWh (IPCC 2019 / EPA NONROAD diesel).</t>
  </si>
  <si>
    <t>Equipment</t>
  </si>
  <si>
    <t>Rated HP</t>
  </si>
  <si>
    <t>Rated kW</t>
  </si>
  <si>
    <t>Load factor</t>
  </si>
  <si>
    <t>SFC (L/kWh)</t>
  </si>
  <si>
    <t>Hours/ha</t>
  </si>
  <si>
    <t>Area (ha)</t>
  </si>
  <si>
    <t>Diesel (L)</t>
  </si>
  <si>
    <t>Tractor (heavy, ploughing)</t>
  </si>
  <si>
    <t>Tractor (medium, spraying)</t>
  </si>
  <si>
    <t>Combine harvester</t>
  </si>
  <si>
    <t>TOTAL diesel (L):</t>
  </si>
  <si>
    <t>Baseline Inputs</t>
  </si>
  <si>
    <t>Activity data for the 3 years preceding project start (one row per farm-year). Yellow = enter data; grey = auto.</t>
  </si>
  <si>
    <t>Farm /
unit</t>
  </si>
  <si>
    <t>Year</t>
  </si>
  <si>
    <t>Area
(ha)</t>
  </si>
  <si>
    <t>Organic fert</t>
  </si>
  <si>
    <t>Synthetic fert 1</t>
  </si>
  <si>
    <t>Synthetic fert 2</t>
  </si>
  <si>
    <t>Synthetic fert 3</t>
  </si>
  <si>
    <t>Fuel</t>
  </si>
  <si>
    <t>Residue
burnt (kg)</t>
  </si>
  <si>
    <t>N-fixing crop residue</t>
  </si>
  <si>
    <t>Name</t>
  </si>
  <si>
    <t>Mass (t)</t>
  </si>
  <si>
    <t>N (t N/t)</t>
  </si>
  <si>
    <t>Interval (yr)</t>
  </si>
  <si>
    <t>Gasoline (L)</t>
  </si>
  <si>
    <t>Dry matter (t)</t>
  </si>
  <si>
    <t>N (t N/t d.m.)</t>
  </si>
  <si>
    <t>Farm_A</t>
  </si>
  <si>
    <t>Farm_B</t>
  </si>
  <si>
    <t>Project Inputs</t>
  </si>
  <si>
    <t>Activity data per monitoring year (one row per farm-year).</t>
  </si>
  <si>
    <t>Baseline Emissions</t>
  </si>
  <si>
    <t>FSN
(t N)</t>
  </si>
  <si>
    <t>FON
(t N)</t>
  </si>
  <si>
    <t>N2O direct
(tCO2e/ha)</t>
  </si>
  <si>
    <t>N2O volat
(tCO2e)</t>
  </si>
  <si>
    <t>N2O leach
(tCO2e)</t>
  </si>
  <si>
    <t>N2O indirect
(tCO2e/ha)</t>
  </si>
  <si>
    <t>N2O fert
(tCO2e/ha)</t>
  </si>
  <si>
    <t>CO2 fuel
(tCO2e/ha)</t>
  </si>
  <si>
    <t>N2O burn
(tCO2e/ha)</t>
  </si>
  <si>
    <t>N2O Nfix
(tCO2e/ha)</t>
  </si>
  <si>
    <t>TOTAL
(tCO2e/ha)</t>
  </si>
  <si>
    <t>TOTAL
(tCO2e)</t>
  </si>
  <si>
    <t>Project Emissions</t>
  </si>
  <si>
    <t>Emission reductions = Baseline (3-yr avg, t CO2e/ha) − Project (t CO2e/ha), applied to project area. Leakage placeholder = 0 (Phase 2).</t>
  </si>
  <si>
    <t>Project
area (ha)</t>
  </si>
  <si>
    <t>Baseline
(tCO2e/ha)</t>
  </si>
  <si>
    <t>Project
(tCO2e/ha)</t>
  </si>
  <si>
    <t>Δ per ha
(tCO2e/ha)</t>
  </si>
  <si>
    <t>Gross ERR
(tCO2e)</t>
  </si>
  <si>
    <t>Leakage
(tCO2e)</t>
  </si>
  <si>
    <t>Net ERR
(tCO2e)</t>
  </si>
  <si>
    <t>Δ CO2 fuel
(tCO2e/ha)</t>
  </si>
  <si>
    <t>Δ N2O fert
(tCO2e/ha)</t>
  </si>
  <si>
    <t>TOTAL</t>
  </si>
  <si>
    <t>SOC Removals — Quantification Approach 1 (Measure &amp; Model)</t>
  </si>
  <si>
    <t>Hybrid model: soil-organic-carbon removals via a calibrated/validated model (per VMD0053). QA3 emission sources stay on the other sheets — keep each source on ONE approach across baseline &amp; project, stratified separately (VM0042 §8.1).</t>
  </si>
  <si>
    <t>Enter MODEL OUTPUTS (purple): SOC stock change per scenario as t CO2e/ha/yr, positive = sequestration. Initial SOC measured at t=0; remeasure ≥ every 5 yr to true-up the model. Removals (eq 40/41) = project − baseline, after the model uncertainty deduction (§8.6 / VMD0053).</t>
  </si>
  <si>
    <t>Initial SOC
(t C/ha, t=0)</t>
  </si>
  <si>
    <t>ΔSOC baseline
(tCO2e/ha)</t>
  </si>
  <si>
    <t>ΔSOC project
(tCO2e/ha)</t>
  </si>
  <si>
    <t>Net removal
(tCO2e/ha)</t>
  </si>
  <si>
    <t>Model UNC
deduction</t>
  </si>
  <si>
    <t>Net removal
after UNC (/ha)</t>
  </si>
  <si>
    <t>Net removals
(tCO2e)</t>
  </si>
  <si>
    <t>Illustrative model output — replace with IME-approved model results.</t>
  </si>
  <si>
    <t/>
  </si>
  <si>
    <t>TOTAL SOC removals</t>
  </si>
  <si>
    <t>Modeled soil N₂O (QA1) — populate ONLY if "Soil N2O approach" = QA1 (else leave blank; N₂O is then computed by QA3 on the emission sheets).</t>
  </si>
  <si>
    <t>Modeled N₂O
baseline (tCO2e/ha)</t>
  </si>
  <si>
    <t>Modeled N₂O
project (tCO2e/ha)</t>
  </si>
  <si>
    <t>N₂O reduction
(tCO2e/ha)</t>
  </si>
  <si>
    <t>Net reduction
after UNC (/ha)</t>
  </si>
  <si>
    <t>Net N₂O reduction
(tCO2e)</t>
  </si>
  <si>
    <t>Baseline − project soil N₂O from the model (tCO2e/ha).</t>
  </si>
  <si>
    <t>TOTAL N₂O reductions</t>
  </si>
  <si>
    <t>Leakage</t>
  </si>
  <si>
    <t>VM0042 v2.2 §8.4. 8.4.1 (organic amendments, eq 33) is computed automatically; 8.4.2/8.4.3/8.4.4 are entered with justification.</t>
  </si>
  <si>
    <t>8.4.1 · New/additional organic amendments (eq 33):  LE = additional mass (t) × C-content (t C/t) × 0.12 × 44/12</t>
  </si>
  <si>
    <t>Project OA
(t/yr)</t>
  </si>
  <si>
    <t>Baseline OA
(t/yr)</t>
  </si>
  <si>
    <t>Additional
(t/yr)</t>
  </si>
  <si>
    <t>C content
(t C/t)</t>
  </si>
  <si>
    <t>Exempt?</t>
  </si>
  <si>
    <t>Leakage LE_OA
(t CO2e)</t>
  </si>
  <si>
    <t>C-content: compost ~0.30, cattle manure ~0.15 t C/t — confirm by analysis. Exempt if produced on-site / from uncontrolled anaerobic storage / not a soil amendment.</t>
  </si>
  <si>
    <t>Σ 8.4.1</t>
  </si>
  <si>
    <t>Other leakage components — enter t CO2e/yr with justification (default 0)</t>
  </si>
  <si>
    <t>Component</t>
  </si>
  <si>
    <t>Leakage
(t CO2e)</t>
  </si>
  <si>
    <t>Allocated to / justification</t>
  </si>
  <si>
    <t>8.4.2 · Livestock displacement (VMD0054, eq 36)</t>
  </si>
  <si>
    <t>Reductions. 0 if no livestock displaced (document).</t>
  </si>
  <si>
    <t>8.4.3 · Production declines (foregone production)</t>
  </si>
  <si>
    <t>Reductions. Assess if yield drops vs baseline; net land conversion only.</t>
  </si>
  <si>
    <t>8.4.4 · Diversion of biomass residues from energy (CDM TOOL16)</t>
  </si>
  <si>
    <t>Reductions. 0 unless residues had a baseline energy use.</t>
  </si>
  <si>
    <t>Totals (allocated per eq 39 / eq 42)</t>
  </si>
  <si>
    <t>Leakage allocated to REDUCTIONS</t>
  </si>
  <si>
    <t>Livestock + production declines + biomass diversion.</t>
  </si>
  <si>
    <t>Leakage allocated to REMOVALS</t>
  </si>
  <si>
    <t>Organic-amendment leakage (eq 33) — offsets SOC removals.</t>
  </si>
  <si>
    <t>Project Summary — VVB Audit</t>
  </si>
  <si>
    <t>Project-wide roll-up. Reporting period = the project monitoring year entered in Project Inputs.</t>
  </si>
  <si>
    <t>Project identity</t>
  </si>
  <si>
    <t>Project name</t>
  </si>
  <si>
    <t>VM0042 v2.2 (Quantification Approach 3)</t>
  </si>
  <si>
    <t>Reporting period</t>
  </si>
  <si>
    <t>Activity &amp; emissions</t>
  </si>
  <si>
    <t>Number of quantification units (farms)</t>
  </si>
  <si>
    <t>units</t>
  </si>
  <si>
    <t>From Net Reductions.</t>
  </si>
  <si>
    <t>Total project area</t>
  </si>
  <si>
    <t>ha</t>
  </si>
  <si>
    <t>Baseline emissions (project area, annual)</t>
  </si>
  <si>
    <t>t CO2e/yr</t>
  </si>
  <si>
    <t>Σ baseline t CO2e/ha × area.</t>
  </si>
  <si>
    <t>Project emissions (annual)</t>
  </si>
  <si>
    <t>Net reductions (hybrid: QA3 sources + QA1 soil N₂O)</t>
  </si>
  <si>
    <t>QA3 reductions (fuel, burning, +N₂O if QA3)</t>
  </si>
  <si>
    <t>Σ (baseline − project). Soil N₂O auto-excluded here when approach = QA1.</t>
  </si>
  <si>
    <t>QA1 modeled soil-N₂O reductions</t>
  </si>
  <si>
    <t>Nonzero only when N₂O approach = QA1 (from the QA1 sheet).</t>
  </si>
  <si>
    <t>Leakage allocated to reductions</t>
  </si>
  <si>
    <t>From Leakage sheet (§8.4.2 / 8.4.3 / 8.4.4).</t>
  </si>
  <si>
    <t>Net emission reductions</t>
  </si>
  <si>
    <t>QA3 + QA1 N₂O − leakage (eq 38).</t>
  </si>
  <si>
    <t>Net removals — QA1 (SOC, hybrid model)</t>
  </si>
  <si>
    <t>Net SOC removals (after model uncertainty)</t>
  </si>
  <si>
    <t>From "SOC Removals (QA1)". Zero until model outputs are entered.</t>
  </si>
  <si>
    <t>Leakage allocated to removals</t>
  </si>
  <si>
    <t>From Leakage sheet (§8.4.1 organic amendments, eq 33).</t>
  </si>
  <si>
    <t>Net removals</t>
  </si>
  <si>
    <t>From reductions &amp; removals to estimated VCUs</t>
  </si>
  <si>
    <t>Buffer-pool contribution (% of removals)</t>
  </si>
  <si>
    <t>%</t>
  </si>
  <si>
    <t>Set per the AFOLU Non-Permanence Risk Tool (NPRT). Applies to removals only; withheld credits go to the pooled buffer account, not to the project.</t>
  </si>
  <si>
    <t>Other deductions (extra uncertainty etc.)</t>
  </si>
  <si>
    <t>Subtotal (net reductions + net removals)</t>
  </si>
  <si>
    <t>− Buffer withholding</t>
  </si>
  <si>
    <t>Removals × buffer %.</t>
  </si>
  <si>
    <t>− Other deductions</t>
  </si>
  <si>
    <t>ESTIMATED VCUs (pre-verification)</t>
  </si>
  <si>
    <t>VCU</t>
  </si>
  <si>
    <t>1 VCU = 1 t CO2e of VERIFIED net benefit. Issued only after VVB verification &amp; Verra registration — this is a planning estimate, not issued credits.</t>
  </si>
  <si>
    <t>Index — Variables &amp; Parameters</t>
  </si>
  <si>
    <t>Every symbol used in the engine, its unit, the equation(s) it appears in, and its source.</t>
  </si>
  <si>
    <t>Symbol</t>
  </si>
  <si>
    <t>Description</t>
  </si>
  <si>
    <t>Source</t>
  </si>
  <si>
    <t>A_i</t>
  </si>
  <si>
    <t>Area of quantification unit i</t>
  </si>
  <si>
    <t>6,18,21-24</t>
  </si>
  <si>
    <t>Cropped area of the farm/plot in the given year.</t>
  </si>
  <si>
    <t>Project records / GIS</t>
  </si>
  <si>
    <t>FFC_j</t>
  </si>
  <si>
    <t>Fossil fuel consumption (type j)</t>
  </si>
  <si>
    <t>L/yr</t>
  </si>
  <si>
    <t>Litres of diesel or gasoline combusted.</t>
  </si>
  <si>
    <t>Fuel invoices or Machinery-Diesel sheet</t>
  </si>
  <si>
    <t>EF_CO2,j</t>
  </si>
  <si>
    <t>Emission factor, fuel j</t>
  </si>
  <si>
    <t>CO2e released per litre combusted.</t>
  </si>
  <si>
    <t>IPCC 2019 Vol.2 Ch.3</t>
  </si>
  <si>
    <t>M_SF</t>
  </si>
  <si>
    <t>Mass of synthetic fertilizer SF</t>
  </si>
  <si>
    <t>t</t>
  </si>
  <si>
    <t>19</t>
  </si>
  <si>
    <t>Tonnes of each synthetic fertilizer product applied.</t>
  </si>
  <si>
    <t>Fertilizer invoices / declaration</t>
  </si>
  <si>
    <t>NC_SF</t>
  </si>
  <si>
    <t>N content of synthetic fert SF</t>
  </si>
  <si>
    <t>t N/t</t>
  </si>
  <si>
    <t>Nitrogen fraction of the product.</t>
  </si>
  <si>
    <t>Manufacturer spec / Fertilizer Library</t>
  </si>
  <si>
    <t>M_OF</t>
  </si>
  <si>
    <t>Mass of organic fertilizer OF</t>
  </si>
  <si>
    <t>20</t>
  </si>
  <si>
    <t>Tonnes of compost/manure applied (m³ × density).</t>
  </si>
  <si>
    <t>Invoices / declaration</t>
  </si>
  <si>
    <t>NC_OF</t>
  </si>
  <si>
    <t>N content of organic fert OF</t>
  </si>
  <si>
    <t>Nitrogen fraction (confirm by lab analysis).</t>
  </si>
  <si>
    <t>Lab / Fertilizer Library</t>
  </si>
  <si>
    <t>Interval</t>
  </si>
  <si>
    <t>Organic application interval</t>
  </si>
  <si>
    <t>yr</t>
  </si>
  <si>
    <t>Years between organic applications; annualizes mass (e.g. once/10 yr → ÷10).</t>
  </si>
  <si>
    <t>Farm practice</t>
  </si>
  <si>
    <t>FSN</t>
  </si>
  <si>
    <t>Synthetic N applied</t>
  </si>
  <si>
    <t>t N</t>
  </si>
  <si>
    <t>18,19,22,23</t>
  </si>
  <si>
    <t>Σ M_SF × NC_SF.</t>
  </si>
  <si>
    <t>Calculated</t>
  </si>
  <si>
    <t>FON</t>
  </si>
  <si>
    <t>Organic N applied (annualized)</t>
  </si>
  <si>
    <t>18,20,22,23</t>
  </si>
  <si>
    <t>(M_OF / Interval) × NC_OF.</t>
  </si>
  <si>
    <t>EF_N_direct</t>
  </si>
  <si>
    <t>Direct N2O emission factor</t>
  </si>
  <si>
    <t>Direct N2O per tonne N applied; climate &amp; conservativeness dependent.</t>
  </si>
  <si>
    <t>IPCC 2019 Table 11.1</t>
  </si>
  <si>
    <t>Synthetic N volatilized fraction</t>
  </si>
  <si>
    <t>-</t>
  </si>
  <si>
    <t>Share of synthetic N lost as NH3/NOx.</t>
  </si>
  <si>
    <t>IPCC 2019 Table 11.3</t>
  </si>
  <si>
    <t>Organic N volatilized fraction</t>
  </si>
  <si>
    <t>Share of organic N lost as NH3/NOx.</t>
  </si>
  <si>
    <t>N2O EF, atmospheric deposition</t>
  </si>
  <si>
    <t>EF4.</t>
  </si>
  <si>
    <t>Frac_LEACH</t>
  </si>
  <si>
    <t>N leached/runoff fraction</t>
  </si>
  <si>
    <t>Share of N lost to leaching/runoff (0 in dry, non-irrigated).</t>
  </si>
  <si>
    <t>N2O EF, leaching/runoff</t>
  </si>
  <si>
    <t>EF5.</t>
  </si>
  <si>
    <t>Global warming potential, N2O</t>
  </si>
  <si>
    <t>265 (AR5).</t>
  </si>
  <si>
    <t>IPCC AR5 (2013)</t>
  </si>
  <si>
    <t>44/28</t>
  </si>
  <si>
    <t>N2O-N → N2O conversion</t>
  </si>
  <si>
    <t>all N2O</t>
  </si>
  <si>
    <t>Molar mass ratio.</t>
  </si>
  <si>
    <t>Stoichiometry</t>
  </si>
  <si>
    <t>MB_c</t>
  </si>
  <si>
    <t>Mass of residue burnt</t>
  </si>
  <si>
    <t>kg</t>
  </si>
  <si>
    <t>Dry biomass of residue type c burnt.</t>
  </si>
  <si>
    <t>Field records</t>
  </si>
  <si>
    <t>Cf</t>
  </si>
  <si>
    <t>Combustion factor</t>
  </si>
  <si>
    <t>Proportion of biomass actually burnt.</t>
  </si>
  <si>
    <t>IPCC 2019 Table 2.6</t>
  </si>
  <si>
    <t>EF_c,N2O</t>
  </si>
  <si>
    <t>N2O EF, residue burning</t>
  </si>
  <si>
    <t>N2O per kg dry matter burnt.</t>
  </si>
  <si>
    <t>IPCC 2019 Table 2.5</t>
  </si>
  <si>
    <t>F_CR (Nfix)</t>
  </si>
  <si>
    <t>N in N-fixing crop residue</t>
  </si>
  <si>
    <t>24,25</t>
  </si>
  <si>
    <t>Dry matter × N fraction of N-fixing species returned to soil.</t>
  </si>
  <si>
    <t>Field records / IPCC 2019 Table 11.1a</t>
  </si>
  <si>
    <t>N2O_fert</t>
  </si>
  <si>
    <t>N2O from fertilizer</t>
  </si>
  <si>
    <t>t CO2e/ha</t>
  </si>
  <si>
    <t>17</t>
  </si>
  <si>
    <t>Direct + indirect.</t>
  </si>
  <si>
    <t>CO2_ff</t>
  </si>
  <si>
    <t>CO2 from fossil fuel</t>
  </si>
  <si>
    <t>6</t>
  </si>
  <si>
    <t>Areal mean fuel CO2.</t>
  </si>
  <si>
    <t>Net ERR</t>
  </si>
  <si>
    <t>(Baseline − Project) × area − leakage.</t>
  </si>
  <si>
    <t>Equations — VM0042 v2.2 (Approach 3)</t>
  </si>
  <si>
    <t>The exact equations the engine evaluates, with plain-language explanation.</t>
  </si>
  <si>
    <t>Formula</t>
  </si>
  <si>
    <t>Explanation</t>
  </si>
  <si>
    <t>CO2_ff(i,t) = Σ_j EFF(j,i,t) / A_i</t>
  </si>
  <si>
    <t>Areal mean CO2 from fuel = total fuel CO2 ÷ area.</t>
  </si>
  <si>
    <t>EFF(j,i,t) = FFC(j,i,t) × EF_CO2,j</t>
  </si>
  <si>
    <t>Fuel CO2 = litres × fuel emission factor.</t>
  </si>
  <si>
    <t>16</t>
  </si>
  <si>
    <t>N2O_soil = N2O_fert + N2O_md + N2O_Nfix</t>
  </si>
  <si>
    <t>Total soil N2O (manure deposition N2O_md is Phase 2).</t>
  </si>
  <si>
    <t>N2O_fert = N2O_fert,direct + N2O_fert,indirect</t>
  </si>
  <si>
    <t>Fertilizer N2O splits into direct + indirect.</t>
  </si>
  <si>
    <t>18</t>
  </si>
  <si>
    <t>N2O_fert,direct = ((FSN+FON) × EF_N_direct × 44/28 × GWP) / A_i</t>
  </si>
  <si>
    <t>Direct N2O from N applied, per ha.</t>
  </si>
  <si>
    <t>FSN = Σ_SF (M_SF × NC_SF)</t>
  </si>
  <si>
    <t>Synthetic N = Σ product mass × N content.</t>
  </si>
  <si>
    <t>FON = Σ_OF (M_OF/Interval × NC_OF)</t>
  </si>
  <si>
    <t>Organic N, annualized over its application interval.</t>
  </si>
  <si>
    <t>21</t>
  </si>
  <si>
    <t>N2O_fert,indirect = (N2O_volat + N2O_leach) / A_i</t>
  </si>
  <si>
    <t>Indirect N2O per ha.</t>
  </si>
  <si>
    <t>N2O_volat = [(FSN×Frac_GASF)+(FON×Frac_GASM)] × EF_N_volat × 44/28 × GWP</t>
  </si>
  <si>
    <t>Indirect N2O from volatilized N redeposition.</t>
  </si>
  <si>
    <t>N2O_leach = (FSN+FON) × Frac_LEACH × EF_N_leach × 44/28 × GWP</t>
  </si>
  <si>
    <t>Indirect N2O from leaching/runoff.</t>
  </si>
  <si>
    <t>24</t>
  </si>
  <si>
    <t>N2O_Nfix = (F_CR × EF_N_direct × 44/28 × GWP) / A_i</t>
  </si>
  <si>
    <t>Direct N2O from N-fixing crop residue returned to soil.</t>
  </si>
  <si>
    <t>25</t>
  </si>
  <si>
    <t>F_CR = Σ_g (DM_g × N_content,g)</t>
  </si>
  <si>
    <t>N in N-fixing residue = dry matter × N fraction.</t>
  </si>
  <si>
    <t>N2O_burn = (GWP × MB × Cf × EF_c,N2O) / 1e6 / A_i</t>
  </si>
  <si>
    <t>N2O from residue burning, per ha.</t>
  </si>
  <si>
    <t>4/5</t>
  </si>
  <si>
    <t>SOC stock = 100 × BD_corr × depth × SOC%   →   SOC_bsl/wp,t modeled (QA1)</t>
  </si>
  <si>
    <t>Hybrid QA1: soil-carbon stock &amp; modeled stock change (per VMD0053).</t>
  </si>
  <si>
    <t>40</t>
  </si>
  <si>
    <t>CO2_removals = I(CO2wp) × [MAX(0,ΔCO2_wp) − MAX(0,ΔCO2_bsl)]</t>
  </si>
  <si>
    <t>SOC removals when cumulative project carbon stock change is positive.</t>
  </si>
  <si>
    <t>38/41</t>
  </si>
  <si>
    <t>Net = (ER − LK_ER) + (Removals − LK_removals)</t>
  </si>
  <si>
    <t>Net reductions + net removals, leakage allocated to each.</t>
  </si>
  <si>
    <t>Est. VCUs = (Net reductions + Net removals) − Buffer×removals − other deductions</t>
  </si>
  <si>
    <t>Issued only after VVB verification; buffer per AFOLU NPRT.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</si>
</sst>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######"/>
    <numFmt numFmtId="165" formatCode="0.000"/>
    <numFmt numFmtId="166" formatCode="0.0"/>
    <numFmt numFmtId="167" formatCode="0.###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0"/>
      <color rgb="FF5C6B73"/>
      <name val="Calibri"/>
      <family val="2"/>
    </font>
    <font>
      <b/>
      <sz val="12"/>
      <color rgb="FFFFFFFF"/>
      <name val="Calibri"/>
      <family val="2"/>
    </font>
    <font>
      <b/>
      <sz val="10"/>
      <color rgb="FF14213D"/>
      <name val="Calibri"/>
      <family val="2"/>
    </font>
    <font>
      <sz val="10"/>
      <name val="Calibri"/>
      <family val="2"/>
    </font>
    <font>
      <i/>
      <sz val="9"/>
      <color rgb="FF5C6B73"/>
      <name val="Calibri"/>
      <family val="2"/>
    </font>
    <font>
      <b/>
      <sz val="10"/>
      <color rgb="FFFFFFFF"/>
      <name val="Calibri"/>
      <family val="2"/>
    </font>
    <font>
      <sz val="10"/>
      <color rgb="FF1F2A33"/>
      <name val="Calibri"/>
      <family val="2"/>
    </font>
    <font>
      <b/>
      <sz val="9.5"/>
      <color rgb="FFFFFFFF"/>
      <name val="Calibri"/>
      <family val="2"/>
    </font>
    <font>
      <sz val="9.5"/>
      <color rgb="FF1F2A33"/>
      <name val="Calibri"/>
      <family val="2"/>
    </font>
    <font>
      <b/>
      <sz val="11"/>
      <color rgb="FF1B7F4B"/>
      <name val="Calibri"/>
      <family val="2"/>
    </font>
    <font>
      <b/>
      <sz val="10"/>
      <name val="Calibri"/>
      <family val="2"/>
    </font>
    <font>
      <i/>
      <sz val="9"/>
      <color rgb="FF8A6D00"/>
      <name val="Calibri"/>
      <family val="2"/>
    </font>
    <font>
      <sz val="9"/>
      <name val="Calibri"/>
      <family val="2"/>
    </font>
    <font>
      <sz val="9"/>
      <color rgb="FF5C6B73"/>
      <name val="Calibri"/>
      <family val="2"/>
    </font>
    <font>
      <b/>
      <sz val="11"/>
      <name val="Calibri"/>
      <family val="2"/>
    </font>
    <font>
      <b/>
      <sz val="10"/>
      <color rgb="FF8A6D00"/>
      <name val="Calibri"/>
      <family val="2"/>
    </font>
    <font>
      <i/>
      <sz val="8.5"/>
      <color rgb="FF5C6B73"/>
      <name val="Calibri"/>
      <family val="2"/>
    </font>
    <font>
      <sz val="11"/>
      <color rgb="FF14213D"/>
      <name val="Calibri"/>
      <family val="2"/>
    </font>
    <font>
      <b/>
      <sz val="12"/>
      <color rgb="FF1B7F4B"/>
      <name val="Calibri"/>
      <family val="2"/>
    </font>
    <font>
      <b/>
      <sz val="11"/>
      <color rgb="FF14213D"/>
      <name val="Calibri"/>
      <family val="2"/>
    </font>
    <font>
      <b/>
      <sz val="14"/>
      <color rgb="FFFFFFFF"/>
      <name val="Calibri"/>
      <family val="2"/>
    </font>
    <font>
      <b/>
      <sz val="11"/>
      <color rgb="FF1B7F4B"/>
      <name val="Calibri"/>
      <family val="2"/>
    </font>
    <font>
      <sz val="10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1B7F4B"/>
      </patternFill>
    </fill>
    <fill>
      <patternFill patternType="solid">
        <fgColor rgb="FFFFF6E5"/>
      </patternFill>
    </fill>
    <fill>
      <patternFill patternType="solid">
        <fgColor rgb="FFF4F6F8"/>
      </patternFill>
    </fill>
    <fill>
      <patternFill patternType="solid">
        <fgColor rgb="FFE3ECF7"/>
      </patternFill>
    </fill>
    <fill>
      <patternFill patternType="solid">
        <fgColor rgb="FFEDE7F6"/>
      </patternFill>
    </fill>
    <fill>
      <patternFill patternType="solid">
        <fgColor rgb="FFD9EAD3"/>
      </patternFill>
    </fill>
    <fill>
      <patternFill patternType="solid">
        <fgColor rgb="FFFFF3D6"/>
      </patternFill>
    </fill>
    <fill>
      <patternFill patternType="solid">
        <fgColor rgb="FFF2F7F4"/>
      </patternFill>
    </fill>
  </fills>
  <borders count="5">
    <border>
      <left/>
      <right/>
      <top/>
      <bottom/>
      <diagonal/>
    </border>
    <border>
      <left style="thin">
        <color rgb="FFCBD5DC"/>
      </left>
      <right style="thin">
        <color rgb="FFCBD5DC"/>
      </right>
      <top style="thin">
        <color rgb="FFCBD5DC"/>
      </top>
      <bottom style="thin">
        <color rgb="FFE0B050"/>
      </bottom>
      <diagonal/>
    </border>
    <border>
      <left style="thin">
        <color rgb="FFCBD5DC"/>
      </left>
      <right style="thin">
        <color rgb="FFCBD5DC"/>
      </right>
      <top style="thin">
        <color rgb="FFCBD5DC"/>
      </top>
      <bottom style="thin">
        <color rgb="FFCBD5DC"/>
      </bottom>
      <diagonal/>
    </border>
    <border>
      <left style="thin">
        <color rgb="FFCBD5DC"/>
      </left>
      <right style="thin">
        <color rgb="FFCBD5DC"/>
      </right>
      <top style="thin">
        <color rgb="FFCBD5DC"/>
      </top>
      <bottom style="thin">
        <color rgb="FF5B82BC"/>
      </bottom>
      <diagonal/>
    </border>
    <border>
      <left style="thin">
        <color rgb="FFCBD5DC"/>
      </left>
      <right style="thin">
        <color rgb="FFCBD5DC"/>
      </right>
      <top style="thin">
        <color rgb="FFCBD5DC"/>
      </top>
      <bottom style="thin">
        <color rgb="FF8E7CC3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4" fillId="0" borderId="0" xfId="0" applyFont="1" applyAlignment="1">
      <alignment vertical="top"/>
    </xf>
    <xf numFmtId="0" fontId="5" fillId="4" borderId="1" xfId="0" applyFont="1" applyFill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7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6" fillId="0" borderId="0" xfId="0" applyFont="1"/>
    <xf numFmtId="0" fontId="9" fillId="3" borderId="2" xfId="0" applyFont="1" applyFill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7" fillId="3" borderId="2" xfId="0" applyFont="1" applyFill="1" applyBorder="1"/>
    <xf numFmtId="0" fontId="5" fillId="4" borderId="1" xfId="0" applyFont="1" applyFill="1" applyBorder="1"/>
    <xf numFmtId="0" fontId="5" fillId="0" borderId="0" xfId="0" applyFont="1" applyAlignment="1">
      <alignment vertical="top" wrapText="1"/>
    </xf>
    <xf numFmtId="0" fontId="11" fillId="0" borderId="0" xfId="0" applyFont="1"/>
    <xf numFmtId="0" fontId="0" fillId="4" borderId="1" xfId="0" applyFill="1" applyBorder="1"/>
    <xf numFmtId="0" fontId="5" fillId="0" borderId="0" xfId="0" applyFont="1"/>
    <xf numFmtId="0" fontId="0" fillId="5" borderId="2" xfId="0" applyFill="1" applyBorder="1"/>
    <xf numFmtId="0" fontId="0" fillId="6" borderId="3" xfId="0" applyFill="1" applyBorder="1"/>
    <xf numFmtId="0" fontId="0" fillId="7" borderId="2" xfId="0" applyFill="1" applyBorder="1"/>
    <xf numFmtId="0" fontId="12" fillId="0" borderId="0" xfId="0" applyFont="1"/>
    <xf numFmtId="0" fontId="7" fillId="3" borderId="2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/>
    </xf>
    <xf numFmtId="0" fontId="13" fillId="0" borderId="0" xfId="0" applyFont="1"/>
    <xf numFmtId="0" fontId="4" fillId="0" borderId="0" xfId="0" applyFont="1"/>
    <xf numFmtId="164" fontId="0" fillId="6" borderId="3" xfId="0" applyNumberFormat="1" applyFill="1" applyBorder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wrapText="1"/>
    </xf>
    <xf numFmtId="164" fontId="0" fillId="5" borderId="2" xfId="0" applyNumberFormat="1" applyFill="1" applyBorder="1" applyAlignment="1">
      <alignment horizontal="center"/>
    </xf>
    <xf numFmtId="165" fontId="5" fillId="4" borderId="1" xfId="0" applyNumberFormat="1" applyFont="1" applyFill="1" applyBorder="1"/>
    <xf numFmtId="0" fontId="15" fillId="4" borderId="1" xfId="0" applyFont="1" applyFill="1" applyBorder="1"/>
    <xf numFmtId="166" fontId="0" fillId="5" borderId="2" xfId="0" applyNumberFormat="1" applyFill="1" applyBorder="1"/>
    <xf numFmtId="3" fontId="16" fillId="5" borderId="2" xfId="0" applyNumberFormat="1" applyFont="1" applyFill="1" applyBorder="1"/>
    <xf numFmtId="0" fontId="16" fillId="0" borderId="0" xfId="0" applyFont="1" applyAlignment="1">
      <alignment horizontal="right"/>
    </xf>
    <xf numFmtId="3" fontId="16" fillId="8" borderId="2" xfId="0" applyNumberFormat="1" applyFont="1" applyFill="1" applyBorder="1"/>
    <xf numFmtId="2" fontId="5" fillId="4" borderId="1" xfId="0" applyNumberFormat="1" applyFont="1" applyFill="1" applyBorder="1"/>
    <xf numFmtId="167" fontId="5" fillId="4" borderId="1" xfId="0" applyNumberFormat="1" applyFont="1" applyFill="1" applyBorder="1"/>
    <xf numFmtId="165" fontId="0" fillId="5" borderId="2" xfId="0" applyNumberFormat="1" applyFill="1" applyBorder="1"/>
    <xf numFmtId="3" fontId="5" fillId="4" borderId="1" xfId="0" applyNumberFormat="1" applyFont="1" applyFill="1" applyBorder="1"/>
    <xf numFmtId="165" fontId="5" fillId="5" borderId="2" xfId="0" applyNumberFormat="1" applyFont="1" applyFill="1" applyBorder="1"/>
    <xf numFmtId="168" fontId="5" fillId="5" borderId="2" xfId="0" applyNumberFormat="1" applyFont="1" applyFill="1" applyBorder="1"/>
    <xf numFmtId="168" fontId="12" fillId="8" borderId="2" xfId="0" applyNumberFormat="1" applyFont="1" applyFill="1" applyBorder="1"/>
    <xf numFmtId="2" fontId="5" fillId="5" borderId="2" xfId="0" applyNumberFormat="1" applyFont="1" applyFill="1" applyBorder="1"/>
    <xf numFmtId="4" fontId="5" fillId="5" borderId="2" xfId="0" applyNumberFormat="1" applyFont="1" applyFill="1" applyBorder="1"/>
    <xf numFmtId="168" fontId="5" fillId="4" borderId="1" xfId="0" applyNumberFormat="1" applyFont="1" applyFill="1" applyBorder="1"/>
    <xf numFmtId="4" fontId="12" fillId="8" borderId="2" xfId="0" applyNumberFormat="1" applyFont="1" applyFill="1" applyBorder="1"/>
    <xf numFmtId="0" fontId="16" fillId="0" borderId="0" xfId="0" applyFont="1"/>
    <xf numFmtId="2" fontId="16" fillId="0" borderId="0" xfId="0" applyNumberFormat="1" applyFont="1"/>
    <xf numFmtId="4" fontId="16" fillId="8" borderId="2" xfId="0" applyNumberFormat="1" applyFont="1" applyFill="1" applyBorder="1"/>
    <xf numFmtId="2" fontId="5" fillId="7" borderId="4" xfId="0" applyNumberFormat="1" applyFont="1" applyFill="1" applyBorder="1"/>
    <xf numFmtId="166" fontId="5" fillId="7" borderId="4" xfId="0" applyNumberFormat="1" applyFont="1" applyFill="1" applyBorder="1"/>
    <xf numFmtId="165" fontId="5" fillId="7" borderId="4" xfId="0" applyNumberFormat="1" applyFont="1" applyFill="1" applyBorder="1"/>
    <xf numFmtId="9" fontId="5" fillId="7" borderId="4" xfId="0" applyNumberFormat="1" applyFont="1" applyFill="1" applyBorder="1"/>
    <xf numFmtId="2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165" fontId="16" fillId="5" borderId="2" xfId="0" applyNumberFormat="1" applyFont="1" applyFill="1" applyBorder="1"/>
    <xf numFmtId="0" fontId="18" fillId="0" borderId="0" xfId="0" applyFont="1" applyAlignment="1">
      <alignment wrapText="1"/>
    </xf>
    <xf numFmtId="165" fontId="16" fillId="8" borderId="2" xfId="0" applyNumberFormat="1" applyFont="1" applyFill="1" applyBorder="1"/>
    <xf numFmtId="165" fontId="0" fillId="4" borderId="1" xfId="0" applyNumberFormat="1" applyFill="1" applyBorder="1"/>
    <xf numFmtId="0" fontId="19" fillId="0" borderId="0" xfId="0" applyFont="1"/>
    <xf numFmtId="1" fontId="20" fillId="0" borderId="2" xfId="0" applyNumberFormat="1" applyFont="1" applyBorder="1" applyAlignment="1">
      <alignment horizontal="right"/>
    </xf>
    <xf numFmtId="0" fontId="15" fillId="0" borderId="0" xfId="0" applyFont="1"/>
    <xf numFmtId="4" fontId="20" fillId="0" borderId="2" xfId="0" applyNumberFormat="1" applyFont="1" applyBorder="1" applyAlignment="1">
      <alignment horizontal="right"/>
    </xf>
    <xf numFmtId="0" fontId="21" fillId="0" borderId="0" xfId="0" applyFont="1"/>
    <xf numFmtId="9" fontId="0" fillId="4" borderId="1" xfId="0" applyNumberFormat="1" applyFill="1" applyBorder="1" applyAlignment="1">
      <alignment horizontal="right"/>
    </xf>
    <xf numFmtId="0" fontId="6" fillId="0" borderId="0" xfId="0" applyFont="1" applyAlignment="1">
      <alignment wrapText="1"/>
    </xf>
    <xf numFmtId="4" fontId="0" fillId="4" borderId="1" xfId="0" applyNumberFormat="1" applyFill="1" applyBorder="1" applyAlignment="1">
      <alignment horizontal="right"/>
    </xf>
    <xf numFmtId="4" fontId="22" fillId="3" borderId="2" xfId="0" applyNumberFormat="1" applyFont="1" applyFill="1" applyBorder="1" applyAlignment="1">
      <alignment horizontal="right"/>
    </xf>
    <xf numFmtId="0" fontId="4" fillId="10" borderId="2" xfId="0" applyFont="1" applyFill="1" applyBorder="1" applyAlignment="1">
      <alignment vertical="top" wrapText="1"/>
    </xf>
    <xf numFmtId="0" fontId="23" fillId="0" borderId="2" xfId="0" applyFont="1" applyBorder="1" applyAlignment="1">
      <alignment horizontal="center" vertical="top"/>
    </xf>
    <xf numFmtId="0" fontId="24" fillId="0" borderId="2" xfId="0" applyFont="1" applyBorder="1" applyAlignment="1">
      <alignment vertical="top" wrapText="1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indent="1"/>
    </xf>
    <xf numFmtId="0" fontId="3" fillId="3" borderId="0" xfId="0" applyFont="1" applyFill="1"/>
    <xf numFmtId="0" fontId="6" fillId="0" borderId="0" xfId="0" applyFont="1" applyAlignment="1">
      <alignment vertical="top" wrapText="1"/>
    </xf>
    <xf numFmtId="0" fontId="6" fillId="0" borderId="0" xfId="0" applyFont="1"/>
    <xf numFmtId="0" fontId="13" fillId="0" borderId="0" xfId="0" applyFont="1"/>
    <xf numFmtId="0" fontId="7" fillId="3" borderId="2" xfId="0" applyFont="1" applyFill="1" applyBorder="1" applyAlignment="1">
      <alignment horizontal="center" vertical="center" wrapText="1"/>
    </xf>
    <xf numFmtId="0" fontId="17" fillId="9" borderId="0" xfId="0" applyFont="1" applyFill="1" applyAlignment="1">
      <alignment horizontal="left" indent="1"/>
    </xf>
    <xf numFmtId="0" fontId="7" fillId="2" borderId="0" xfId="0" applyFont="1" applyFill="1" applyAlignment="1">
      <alignment indent="1"/>
    </xf>
    <xf numFmtId="0" fontId="7" fillId="3" borderId="0" xfId="0" applyFont="1" applyFill="1" applyAlignment="1">
      <alignment indent="1"/>
    </xf>
    <xf numFmtId="0" fontId="12" fillId="0" borderId="0" xfId="0" applyFont="1" applyAlignment="1">
      <alignment indent="1"/>
    </xf>
    <xf numFmtId="0" fontId="4" fillId="0" borderId="0" xfId="0" applyFont="1" applyAlignment="1">
      <alignment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showGridLines="0" topLeftCell="A28" workbookViewId="0">
      <pane activePane="bottomRight" state="frozen"/>
      <selection sqref="A1:H1"/>
    </sheetView>
  </sheetViews>
  <sheetFormatPr defaultRowHeight="14.4" x14ac:dyDescent="0.3"/>
  <cols>
    <col min="1" max="1" width="3" customWidth="1"/>
    <col min="2" max="2" width="34" customWidth="1"/>
    <col min="3" max="3" width="44" customWidth="1"/>
    <col min="4" max="4" width="22" customWidth="1"/>
    <col min="5" max="5" width="34" customWidth="1"/>
  </cols>
  <sheetData>
    <row r="1" spans="1:8" ht="28.05" customHeight="1" x14ac:dyDescent="0.3">
      <c r="A1" s="70" t="s">
        <v>0</v>
      </c>
      <c r="B1" s="70"/>
      <c r="C1" s="70"/>
      <c r="D1" s="70"/>
      <c r="E1" s="70"/>
      <c r="F1" s="70"/>
      <c r="G1" s="70"/>
      <c r="H1" s="70"/>
    </row>
    <row r="2" spans="1:8" x14ac:dyDescent="0.3">
      <c r="A2" s="71" t="s">
        <v>1</v>
      </c>
      <c r="B2" s="71"/>
      <c r="C2" s="71"/>
      <c r="D2" s="71"/>
      <c r="E2" s="71"/>
      <c r="F2" s="71"/>
      <c r="G2" s="71"/>
      <c r="H2" s="71"/>
    </row>
    <row r="4" spans="1:8" ht="15.6" x14ac:dyDescent="0.3">
      <c r="B4" s="72" t="s">
        <v>2</v>
      </c>
      <c r="C4" s="72"/>
      <c r="D4" s="72"/>
      <c r="E4" s="72"/>
    </row>
    <row r="5" spans="1:8" x14ac:dyDescent="0.3">
      <c r="B5" s="1" t="s">
        <v>3</v>
      </c>
      <c r="C5" s="2" t="s">
        <v>4</v>
      </c>
    </row>
    <row r="6" spans="1:8" x14ac:dyDescent="0.3">
      <c r="B6" s="1" t="s">
        <v>5</v>
      </c>
      <c r="C6" s="2" t="s">
        <v>4</v>
      </c>
    </row>
    <row r="7" spans="1:8" x14ac:dyDescent="0.3">
      <c r="B7" s="1" t="s">
        <v>6</v>
      </c>
      <c r="C7" s="2" t="s">
        <v>7</v>
      </c>
    </row>
    <row r="8" spans="1:8" x14ac:dyDescent="0.3">
      <c r="B8" s="1" t="s">
        <v>8</v>
      </c>
      <c r="C8" s="2" t="s">
        <v>4</v>
      </c>
    </row>
    <row r="9" spans="1:8" x14ac:dyDescent="0.3">
      <c r="B9" s="1" t="s">
        <v>9</v>
      </c>
      <c r="C9" s="2" t="s">
        <v>4</v>
      </c>
    </row>
    <row r="10" spans="1:8" ht="27.6" x14ac:dyDescent="0.3">
      <c r="B10" s="1" t="s">
        <v>10</v>
      </c>
      <c r="C10" s="3" t="s">
        <v>11</v>
      </c>
    </row>
    <row r="11" spans="1:8" ht="27.6" x14ac:dyDescent="0.3">
      <c r="B11" s="1" t="s">
        <v>12</v>
      </c>
      <c r="C11" s="3" t="s">
        <v>13</v>
      </c>
      <c r="D11" s="73" t="s">
        <v>14</v>
      </c>
      <c r="E11" s="73"/>
    </row>
    <row r="12" spans="1:8" x14ac:dyDescent="0.3">
      <c r="B12" s="1" t="s">
        <v>15</v>
      </c>
      <c r="C12" s="2" t="s">
        <v>4</v>
      </c>
    </row>
    <row r="13" spans="1:8" x14ac:dyDescent="0.3">
      <c r="B13" s="1" t="s">
        <v>16</v>
      </c>
      <c r="C13" s="2" t="s">
        <v>4</v>
      </c>
    </row>
    <row r="14" spans="1:8" x14ac:dyDescent="0.3">
      <c r="B14" s="1" t="s">
        <v>17</v>
      </c>
      <c r="C14" s="2" t="s">
        <v>4</v>
      </c>
    </row>
    <row r="15" spans="1:8" x14ac:dyDescent="0.3">
      <c r="B15" s="1" t="s">
        <v>18</v>
      </c>
      <c r="C15" s="2" t="s">
        <v>4</v>
      </c>
    </row>
    <row r="16" spans="1:8" x14ac:dyDescent="0.3">
      <c r="B16" s="1" t="s">
        <v>19</v>
      </c>
      <c r="C16" s="2" t="s">
        <v>20</v>
      </c>
    </row>
    <row r="18" spans="2:5" ht="15.6" x14ac:dyDescent="0.3">
      <c r="B18" s="72" t="s">
        <v>21</v>
      </c>
      <c r="C18" s="72"/>
      <c r="D18" s="72"/>
      <c r="E18" s="72"/>
    </row>
    <row r="19" spans="2:5" x14ac:dyDescent="0.3">
      <c r="B19" s="1" t="s">
        <v>22</v>
      </c>
      <c r="C19" s="3" t="s">
        <v>23</v>
      </c>
      <c r="D19" s="73" t="s">
        <v>24</v>
      </c>
      <c r="E19" s="73"/>
    </row>
    <row r="20" spans="2:5" x14ac:dyDescent="0.3">
      <c r="B20" s="1" t="s">
        <v>25</v>
      </c>
      <c r="C20" s="3" t="s">
        <v>26</v>
      </c>
      <c r="D20" s="73" t="s">
        <v>27</v>
      </c>
      <c r="E20" s="73"/>
    </row>
    <row r="21" spans="2:5" ht="27.6" x14ac:dyDescent="0.3">
      <c r="B21" s="1" t="s">
        <v>28</v>
      </c>
      <c r="C21" s="3" t="s">
        <v>29</v>
      </c>
    </row>
    <row r="23" spans="2:5" ht="15.6" x14ac:dyDescent="0.3">
      <c r="B23" s="72" t="s">
        <v>30</v>
      </c>
      <c r="C23" s="72"/>
      <c r="D23" s="72"/>
      <c r="E23" s="72"/>
    </row>
    <row r="24" spans="2:5" x14ac:dyDescent="0.3">
      <c r="B24" s="4" t="s">
        <v>31</v>
      </c>
      <c r="C24" s="4" t="s">
        <v>32</v>
      </c>
      <c r="D24" s="4" t="s">
        <v>33</v>
      </c>
    </row>
    <row r="25" spans="2:5" x14ac:dyDescent="0.3">
      <c r="B25" s="5" t="s">
        <v>34</v>
      </c>
      <c r="C25" s="5" t="str">
        <f>"QA3/QA1 selector → "&amp;'Fixed Parameters'!$B$7</f>
        <v>QA3/QA1 selector → QA3</v>
      </c>
      <c r="D25" s="5" t="s">
        <v>35</v>
      </c>
    </row>
    <row r="26" spans="2:5" ht="27.6" x14ac:dyDescent="0.3">
      <c r="B26" s="5" t="s">
        <v>36</v>
      </c>
      <c r="C26" s="5" t="s">
        <v>37</v>
      </c>
      <c r="D26" s="5" t="s">
        <v>38</v>
      </c>
    </row>
    <row r="27" spans="2:5" ht="27.6" x14ac:dyDescent="0.3">
      <c r="B27" s="5" t="s">
        <v>39</v>
      </c>
      <c r="C27" s="5" t="s">
        <v>40</v>
      </c>
      <c r="D27" s="5" t="s">
        <v>41</v>
      </c>
    </row>
    <row r="28" spans="2:5" ht="27.6" x14ac:dyDescent="0.3">
      <c r="B28" s="5" t="s">
        <v>42</v>
      </c>
      <c r="C28" s="5" t="s">
        <v>40</v>
      </c>
      <c r="D28" s="5" t="s">
        <v>41</v>
      </c>
    </row>
    <row r="29" spans="2:5" x14ac:dyDescent="0.3">
      <c r="B29" s="74" t="s">
        <v>43</v>
      </c>
      <c r="C29" s="74"/>
      <c r="D29" s="74"/>
      <c r="E29" s="74"/>
    </row>
    <row r="31" spans="2:5" ht="15.6" x14ac:dyDescent="0.3">
      <c r="B31" s="72" t="s">
        <v>44</v>
      </c>
      <c r="C31" s="72"/>
      <c r="D31" s="72"/>
      <c r="E31" s="72"/>
    </row>
    <row r="32" spans="2:5" x14ac:dyDescent="0.3">
      <c r="B32" s="7" t="s">
        <v>45</v>
      </c>
      <c r="C32" s="7" t="s">
        <v>46</v>
      </c>
      <c r="D32" s="7" t="s">
        <v>47</v>
      </c>
      <c r="E32" s="7" t="s">
        <v>48</v>
      </c>
    </row>
    <row r="33" spans="2:5" ht="25.2" x14ac:dyDescent="0.3">
      <c r="B33" s="8" t="s">
        <v>49</v>
      </c>
      <c r="C33" s="8" t="s">
        <v>50</v>
      </c>
      <c r="D33" s="8" t="s">
        <v>41</v>
      </c>
      <c r="E33" s="8" t="s">
        <v>51</v>
      </c>
    </row>
    <row r="34" spans="2:5" ht="25.2" x14ac:dyDescent="0.3">
      <c r="B34" s="8" t="s">
        <v>52</v>
      </c>
      <c r="C34" s="8" t="s">
        <v>53</v>
      </c>
      <c r="D34" s="8" t="s">
        <v>41</v>
      </c>
      <c r="E34" s="8" t="s">
        <v>54</v>
      </c>
    </row>
    <row r="35" spans="2:5" ht="25.2" x14ac:dyDescent="0.3">
      <c r="B35" s="8" t="s">
        <v>55</v>
      </c>
      <c r="C35" s="8" t="s">
        <v>56</v>
      </c>
      <c r="D35" s="8" t="s">
        <v>41</v>
      </c>
      <c r="E35" s="8" t="s">
        <v>57</v>
      </c>
    </row>
    <row r="36" spans="2:5" ht="25.2" x14ac:dyDescent="0.3">
      <c r="B36" s="8" t="s">
        <v>58</v>
      </c>
      <c r="C36" s="8" t="s">
        <v>59</v>
      </c>
      <c r="D36" s="8" t="s">
        <v>41</v>
      </c>
      <c r="E36" s="8" t="s">
        <v>60</v>
      </c>
    </row>
    <row r="37" spans="2:5" ht="25.2" x14ac:dyDescent="0.3">
      <c r="B37" s="8" t="s">
        <v>61</v>
      </c>
      <c r="C37" s="8" t="s">
        <v>62</v>
      </c>
      <c r="D37" s="8" t="s">
        <v>41</v>
      </c>
      <c r="E37" s="8" t="s">
        <v>63</v>
      </c>
    </row>
    <row r="38" spans="2:5" x14ac:dyDescent="0.3">
      <c r="B38" s="8" t="s">
        <v>64</v>
      </c>
      <c r="C38" s="8" t="s">
        <v>65</v>
      </c>
      <c r="D38" s="8" t="s">
        <v>66</v>
      </c>
      <c r="E38" s="8" t="s">
        <v>67</v>
      </c>
    </row>
    <row r="39" spans="2:5" x14ac:dyDescent="0.3">
      <c r="B39" s="8" t="s">
        <v>68</v>
      </c>
      <c r="C39" s="8" t="s">
        <v>69</v>
      </c>
      <c r="D39" s="8" t="s">
        <v>35</v>
      </c>
      <c r="E39" s="8" t="s">
        <v>70</v>
      </c>
    </row>
    <row r="40" spans="2:5" x14ac:dyDescent="0.3">
      <c r="B40" s="8" t="s">
        <v>71</v>
      </c>
      <c r="C40" s="8" t="s">
        <v>72</v>
      </c>
      <c r="D40" s="8" t="s">
        <v>73</v>
      </c>
      <c r="E40" s="8" t="s">
        <v>72</v>
      </c>
    </row>
    <row r="42" spans="2:5" ht="15.6" x14ac:dyDescent="0.3">
      <c r="B42" s="72" t="s">
        <v>74</v>
      </c>
      <c r="C42" s="72"/>
      <c r="D42" s="72"/>
      <c r="E42" s="72"/>
    </row>
    <row r="43" spans="2:5" x14ac:dyDescent="0.3">
      <c r="B43" s="1" t="s">
        <v>75</v>
      </c>
      <c r="C43" s="3" t="s">
        <v>76</v>
      </c>
      <c r="D43" s="73" t="s">
        <v>77</v>
      </c>
      <c r="E43" s="73"/>
    </row>
    <row r="44" spans="2:5" x14ac:dyDescent="0.3">
      <c r="B44" s="1" t="s">
        <v>78</v>
      </c>
      <c r="C44" s="3" t="s">
        <v>79</v>
      </c>
      <c r="D44" s="73" t="s">
        <v>80</v>
      </c>
      <c r="E44" s="73"/>
    </row>
    <row r="45" spans="2:5" x14ac:dyDescent="0.3">
      <c r="B45" s="1" t="s">
        <v>81</v>
      </c>
      <c r="C45" s="3" t="s">
        <v>82</v>
      </c>
      <c r="D45" s="73" t="s">
        <v>83</v>
      </c>
      <c r="E45" s="73"/>
    </row>
    <row r="46" spans="2:5" x14ac:dyDescent="0.3">
      <c r="B46" s="1" t="s">
        <v>84</v>
      </c>
      <c r="C46" s="3" t="s">
        <v>85</v>
      </c>
    </row>
    <row r="48" spans="2:5" ht="15.6" x14ac:dyDescent="0.3">
      <c r="B48" s="72" t="s">
        <v>86</v>
      </c>
      <c r="C48" s="72"/>
      <c r="D48" s="72"/>
      <c r="E48" s="72"/>
    </row>
    <row r="49" spans="2:5" x14ac:dyDescent="0.3">
      <c r="B49" s="9" t="s">
        <v>87</v>
      </c>
      <c r="C49" s="9" t="s">
        <v>18</v>
      </c>
      <c r="D49" s="9" t="s">
        <v>88</v>
      </c>
      <c r="E49" s="9" t="s">
        <v>89</v>
      </c>
    </row>
    <row r="50" spans="2:5" x14ac:dyDescent="0.3">
      <c r="B50" s="10" t="s">
        <v>20</v>
      </c>
      <c r="C50" s="10" t="s">
        <v>4</v>
      </c>
      <c r="D50" s="10" t="s">
        <v>7</v>
      </c>
      <c r="E50" s="10" t="s">
        <v>90</v>
      </c>
    </row>
  </sheetData>
  <mergeCells count="15">
    <mergeCell ref="B42:E42"/>
    <mergeCell ref="D43:E43"/>
    <mergeCell ref="D44:E44"/>
    <mergeCell ref="D45:E45"/>
    <mergeCell ref="B48:E48"/>
    <mergeCell ref="D19:E19"/>
    <mergeCell ref="D20:E20"/>
    <mergeCell ref="B23:E23"/>
    <mergeCell ref="B29:E29"/>
    <mergeCell ref="B31:E31"/>
    <mergeCell ref="A1:H1"/>
    <mergeCell ref="A2:H2"/>
    <mergeCell ref="B4:E4"/>
    <mergeCell ref="D11:E11"/>
    <mergeCell ref="B18:E18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showGridLines="0" workbookViewId="0">
      <pane activePane="bottomRight" state="frozen"/>
      <selection activeCell="J13" sqref="J13"/>
    </sheetView>
  </sheetViews>
  <sheetFormatPr defaultRowHeight="14.4" x14ac:dyDescent="0.3"/>
  <cols>
    <col min="1" max="1" width="3" customWidth="1"/>
    <col min="2" max="2" width="26" customWidth="1"/>
    <col min="3" max="3" width="95" customWidth="1"/>
  </cols>
  <sheetData>
    <row r="1" spans="1:8" ht="28.05" customHeight="1" x14ac:dyDescent="0.3">
      <c r="A1" s="70" t="s">
        <v>91</v>
      </c>
      <c r="B1" s="70"/>
      <c r="C1" s="70"/>
      <c r="D1" s="70"/>
      <c r="E1" s="70"/>
      <c r="F1" s="70"/>
      <c r="G1" s="70"/>
      <c r="H1" s="70"/>
    </row>
    <row r="2" spans="1:8" x14ac:dyDescent="0.3">
      <c r="A2" s="71" t="s">
        <v>92</v>
      </c>
      <c r="B2" s="71"/>
      <c r="C2" s="71"/>
      <c r="D2" s="71"/>
      <c r="E2" s="71"/>
      <c r="F2" s="71"/>
      <c r="G2" s="71"/>
      <c r="H2" s="71"/>
    </row>
    <row r="4" spans="1:8" ht="42" customHeight="1" x14ac:dyDescent="0.3">
      <c r="B4" s="1" t="s">
        <v>93</v>
      </c>
      <c r="C4" s="11" t="s">
        <v>94</v>
      </c>
    </row>
    <row r="5" spans="1:8" ht="30" customHeight="1" x14ac:dyDescent="0.3">
      <c r="B5" s="1" t="s">
        <v>10</v>
      </c>
      <c r="C5" s="11" t="s">
        <v>95</v>
      </c>
    </row>
    <row r="6" spans="1:8" ht="42" customHeight="1" x14ac:dyDescent="0.3">
      <c r="B6" s="1" t="s">
        <v>96</v>
      </c>
      <c r="C6" s="11" t="s">
        <v>97</v>
      </c>
    </row>
    <row r="7" spans="1:8" ht="30" customHeight="1" x14ac:dyDescent="0.3">
      <c r="B7" s="1" t="s">
        <v>98</v>
      </c>
      <c r="C7" s="11" t="s">
        <v>99</v>
      </c>
    </row>
    <row r="8" spans="1:8" ht="24" customHeight="1" x14ac:dyDescent="0.3">
      <c r="B8" s="1" t="s">
        <v>100</v>
      </c>
      <c r="C8" s="11" t="s">
        <v>101</v>
      </c>
    </row>
    <row r="10" spans="1:8" x14ac:dyDescent="0.3">
      <c r="B10" s="12" t="s">
        <v>102</v>
      </c>
    </row>
    <row r="11" spans="1:8" x14ac:dyDescent="0.3">
      <c r="B11" s="13"/>
      <c r="C11" s="14" t="s">
        <v>103</v>
      </c>
    </row>
    <row r="12" spans="1:8" x14ac:dyDescent="0.3">
      <c r="B12" s="15"/>
      <c r="C12" s="14" t="s">
        <v>104</v>
      </c>
    </row>
    <row r="13" spans="1:8" x14ac:dyDescent="0.3">
      <c r="B13" s="16"/>
      <c r="C13" s="14" t="s">
        <v>105</v>
      </c>
    </row>
    <row r="14" spans="1:8" x14ac:dyDescent="0.3">
      <c r="B14" s="17"/>
      <c r="C14" s="14" t="s">
        <v>106</v>
      </c>
    </row>
    <row r="16" spans="1:8" x14ac:dyDescent="0.3">
      <c r="B16" s="12" t="s">
        <v>107</v>
      </c>
    </row>
    <row r="17" spans="2:3" x14ac:dyDescent="0.3">
      <c r="B17" s="18" t="s">
        <v>108</v>
      </c>
      <c r="C17" s="14" t="s">
        <v>109</v>
      </c>
    </row>
    <row r="18" spans="2:3" x14ac:dyDescent="0.3">
      <c r="B18" s="18" t="s">
        <v>110</v>
      </c>
      <c r="C18" s="14" t="s">
        <v>111</v>
      </c>
    </row>
    <row r="19" spans="2:3" x14ac:dyDescent="0.3">
      <c r="B19" s="18" t="s">
        <v>112</v>
      </c>
      <c r="C19" s="14" t="s">
        <v>113</v>
      </c>
    </row>
    <row r="20" spans="2:3" x14ac:dyDescent="0.3">
      <c r="B20" s="18" t="s">
        <v>114</v>
      </c>
      <c r="C20" s="14" t="s">
        <v>115</v>
      </c>
    </row>
    <row r="21" spans="2:3" x14ac:dyDescent="0.3">
      <c r="B21" s="18" t="s">
        <v>116</v>
      </c>
      <c r="C21" s="14" t="s">
        <v>117</v>
      </c>
    </row>
    <row r="22" spans="2:3" x14ac:dyDescent="0.3">
      <c r="B22" s="18" t="s">
        <v>118</v>
      </c>
      <c r="C22" s="14" t="s">
        <v>119</v>
      </c>
    </row>
    <row r="23" spans="2:3" x14ac:dyDescent="0.3">
      <c r="B23" s="18" t="s">
        <v>120</v>
      </c>
      <c r="C23" s="14" t="s">
        <v>121</v>
      </c>
    </row>
    <row r="24" spans="2:3" x14ac:dyDescent="0.3">
      <c r="B24" s="18" t="s">
        <v>66</v>
      </c>
      <c r="C24" s="14" t="s">
        <v>122</v>
      </c>
    </row>
    <row r="25" spans="2:3" x14ac:dyDescent="0.3">
      <c r="B25" s="18" t="s">
        <v>73</v>
      </c>
      <c r="C25" s="14" t="s">
        <v>123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showGridLines="0" workbookViewId="0">
      <pane ySplit="4" topLeftCell="A5" activePane="bottomLeft" state="frozen"/>
      <selection pane="bottomLeft" activeCell="D28" sqref="D28"/>
    </sheetView>
  </sheetViews>
  <sheetFormatPr defaultRowHeight="14.4" x14ac:dyDescent="0.3"/>
  <cols>
    <col min="1" max="1" width="22" customWidth="1"/>
    <col min="2" max="4" width="16" customWidth="1"/>
    <col min="5" max="5" width="58" customWidth="1"/>
  </cols>
  <sheetData>
    <row r="1" spans="1:8" ht="28.05" customHeight="1" x14ac:dyDescent="0.3">
      <c r="A1" s="70" t="s">
        <v>112</v>
      </c>
      <c r="B1" s="70"/>
      <c r="C1" s="70"/>
      <c r="D1" s="70"/>
      <c r="E1" s="70"/>
      <c r="F1" s="70"/>
      <c r="G1" s="70"/>
      <c r="H1" s="70"/>
    </row>
    <row r="2" spans="1:8" x14ac:dyDescent="0.3">
      <c r="A2" s="71" t="s">
        <v>124</v>
      </c>
      <c r="B2" s="71"/>
      <c r="C2" s="71"/>
      <c r="D2" s="71"/>
      <c r="E2" s="71"/>
      <c r="F2" s="71"/>
      <c r="G2" s="71"/>
      <c r="H2" s="71"/>
    </row>
    <row r="3" spans="1:8" x14ac:dyDescent="0.3">
      <c r="A3" s="19" t="s">
        <v>125</v>
      </c>
      <c r="B3" s="19" t="s">
        <v>126</v>
      </c>
      <c r="C3" s="19" t="s">
        <v>127</v>
      </c>
      <c r="D3" s="19" t="s">
        <v>128</v>
      </c>
      <c r="E3" s="19" t="s">
        <v>129</v>
      </c>
    </row>
    <row r="4" spans="1:8" x14ac:dyDescent="0.3">
      <c r="A4" s="18" t="s">
        <v>130</v>
      </c>
      <c r="B4" s="20" t="s">
        <v>131</v>
      </c>
      <c r="E4" s="21" t="s">
        <v>132</v>
      </c>
    </row>
    <row r="5" spans="1:8" x14ac:dyDescent="0.3">
      <c r="A5" s="18" t="s">
        <v>133</v>
      </c>
      <c r="B5" s="20" t="s">
        <v>134</v>
      </c>
      <c r="E5" s="21" t="s">
        <v>135</v>
      </c>
    </row>
    <row r="6" spans="1:8" x14ac:dyDescent="0.3">
      <c r="A6" s="18" t="s">
        <v>136</v>
      </c>
      <c r="B6" s="20" t="s">
        <v>137</v>
      </c>
      <c r="E6" s="21" t="s">
        <v>138</v>
      </c>
    </row>
    <row r="7" spans="1:8" x14ac:dyDescent="0.3">
      <c r="A7" s="18" t="s">
        <v>139</v>
      </c>
      <c r="B7" s="20" t="s">
        <v>140</v>
      </c>
      <c r="E7" s="21" t="s">
        <v>141</v>
      </c>
    </row>
    <row r="9" spans="1:8" x14ac:dyDescent="0.3">
      <c r="A9" s="22" t="s">
        <v>142</v>
      </c>
      <c r="B9" s="23">
        <v>2.8860000000000001E-3</v>
      </c>
      <c r="C9" s="24" t="s">
        <v>143</v>
      </c>
      <c r="D9" s="25" t="s">
        <v>144</v>
      </c>
      <c r="E9" s="26" t="s">
        <v>145</v>
      </c>
    </row>
    <row r="10" spans="1:8" x14ac:dyDescent="0.3">
      <c r="A10" s="22" t="s">
        <v>146</v>
      </c>
      <c r="B10" s="23">
        <v>2.81E-3</v>
      </c>
      <c r="C10" s="24" t="s">
        <v>143</v>
      </c>
      <c r="D10" s="25" t="s">
        <v>144</v>
      </c>
      <c r="E10" s="26" t="s">
        <v>145</v>
      </c>
    </row>
    <row r="11" spans="1:8" ht="24.6" x14ac:dyDescent="0.3">
      <c r="A11" s="22" t="s">
        <v>147</v>
      </c>
      <c r="B11" s="23">
        <v>265</v>
      </c>
      <c r="C11" s="24" t="s">
        <v>148</v>
      </c>
      <c r="D11" s="25" t="s">
        <v>149</v>
      </c>
      <c r="E11" s="26" t="s">
        <v>150</v>
      </c>
    </row>
    <row r="12" spans="1:8" x14ac:dyDescent="0.3">
      <c r="A12" s="22" t="s">
        <v>151</v>
      </c>
      <c r="B12" s="23">
        <v>1.6E-2</v>
      </c>
      <c r="C12" s="24" t="s">
        <v>152</v>
      </c>
      <c r="D12" s="25" t="s">
        <v>153</v>
      </c>
      <c r="E12" s="26" t="s">
        <v>154</v>
      </c>
    </row>
    <row r="13" spans="1:8" x14ac:dyDescent="0.3">
      <c r="A13" s="22" t="s">
        <v>155</v>
      </c>
      <c r="B13" s="23">
        <v>5.0000000000000001E-3</v>
      </c>
      <c r="C13" s="24" t="s">
        <v>152</v>
      </c>
      <c r="D13" s="25" t="s">
        <v>153</v>
      </c>
      <c r="E13" s="26" t="s">
        <v>156</v>
      </c>
    </row>
    <row r="14" spans="1:8" x14ac:dyDescent="0.3">
      <c r="A14" s="22" t="s">
        <v>157</v>
      </c>
      <c r="B14" s="23">
        <v>1.2999999999999999E-2</v>
      </c>
      <c r="C14" s="24" t="s">
        <v>152</v>
      </c>
      <c r="D14" s="25" t="s">
        <v>153</v>
      </c>
      <c r="E14" s="26" t="s">
        <v>158</v>
      </c>
    </row>
    <row r="15" spans="1:8" x14ac:dyDescent="0.3">
      <c r="A15" s="22" t="s">
        <v>159</v>
      </c>
      <c r="B15" s="23">
        <v>1.9E-2</v>
      </c>
      <c r="C15" s="24" t="s">
        <v>152</v>
      </c>
      <c r="D15" s="25" t="s">
        <v>153</v>
      </c>
      <c r="E15" s="26" t="s">
        <v>160</v>
      </c>
    </row>
    <row r="16" spans="1:8" ht="24.6" x14ac:dyDescent="0.3">
      <c r="A16" s="22" t="s">
        <v>161</v>
      </c>
      <c r="B16" s="27">
        <f>IF('Fixed Parameters'!$B$4="dry",'Fixed Parameters'!$B$13,IF('Fixed Parameters'!$B$6="decrease",'Fixed Parameters'!$B$14,IF('Fixed Parameters'!$B$6="increase",'Fixed Parameters'!$B$15,'Fixed Parameters'!$B$12)))</f>
        <v>1.2999999999999999E-2</v>
      </c>
      <c r="C16" s="24" t="s">
        <v>152</v>
      </c>
      <c r="D16" s="25" t="s">
        <v>153</v>
      </c>
      <c r="E16" s="26" t="s">
        <v>162</v>
      </c>
    </row>
    <row r="17" spans="1:5" x14ac:dyDescent="0.3">
      <c r="A17" s="22" t="s">
        <v>163</v>
      </c>
      <c r="B17" s="23">
        <v>0.11</v>
      </c>
      <c r="C17" s="24" t="s">
        <v>164</v>
      </c>
      <c r="D17" s="25" t="s">
        <v>165</v>
      </c>
      <c r="E17" s="26" t="s">
        <v>166</v>
      </c>
    </row>
    <row r="18" spans="1:5" x14ac:dyDescent="0.3">
      <c r="A18" s="22" t="s">
        <v>167</v>
      </c>
      <c r="B18" s="23">
        <v>0.21</v>
      </c>
      <c r="C18" s="24" t="s">
        <v>164</v>
      </c>
      <c r="D18" s="25" t="s">
        <v>165</v>
      </c>
      <c r="E18" s="26" t="s">
        <v>168</v>
      </c>
    </row>
    <row r="19" spans="1:5" x14ac:dyDescent="0.3">
      <c r="A19" s="22" t="s">
        <v>169</v>
      </c>
      <c r="B19" s="23">
        <v>1.4E-2</v>
      </c>
      <c r="C19" s="24" t="s">
        <v>152</v>
      </c>
      <c r="D19" s="25" t="s">
        <v>165</v>
      </c>
      <c r="E19" s="26" t="s">
        <v>170</v>
      </c>
    </row>
    <row r="20" spans="1:5" x14ac:dyDescent="0.3">
      <c r="A20" s="22" t="s">
        <v>171</v>
      </c>
      <c r="B20" s="23">
        <v>0.24</v>
      </c>
      <c r="C20" s="24" t="s">
        <v>164</v>
      </c>
      <c r="D20" s="25" t="s">
        <v>172</v>
      </c>
      <c r="E20" s="26" t="s">
        <v>173</v>
      </c>
    </row>
    <row r="21" spans="1:5" x14ac:dyDescent="0.3">
      <c r="A21" s="22" t="s">
        <v>174</v>
      </c>
      <c r="B21" s="27">
        <f>IF(OR('Fixed Parameters'!$B$4="wet",AND('Fixed Parameters'!$B$4="dry",'Fixed Parameters'!$B$5="yes")),'Fixed Parameters'!$B$20,0)</f>
        <v>0.24</v>
      </c>
      <c r="C21" s="24" t="s">
        <v>164</v>
      </c>
      <c r="D21" s="25" t="s">
        <v>172</v>
      </c>
      <c r="E21" s="26" t="s">
        <v>175</v>
      </c>
    </row>
    <row r="22" spans="1:5" x14ac:dyDescent="0.3">
      <c r="A22" s="22" t="s">
        <v>176</v>
      </c>
      <c r="B22" s="23">
        <v>1.0999999999999999E-2</v>
      </c>
      <c r="C22" s="24" t="s">
        <v>152</v>
      </c>
      <c r="D22" s="25" t="s">
        <v>172</v>
      </c>
      <c r="E22" s="26" t="s">
        <v>177</v>
      </c>
    </row>
    <row r="23" spans="1:5" x14ac:dyDescent="0.3">
      <c r="A23" s="22" t="s">
        <v>178</v>
      </c>
      <c r="B23" s="23">
        <v>0.5</v>
      </c>
      <c r="C23" s="24" t="s">
        <v>179</v>
      </c>
      <c r="D23" s="25" t="s">
        <v>62</v>
      </c>
      <c r="E23" s="26" t="s">
        <v>180</v>
      </c>
    </row>
    <row r="24" spans="1:5" x14ac:dyDescent="0.3">
      <c r="A24" s="22" t="s">
        <v>181</v>
      </c>
      <c r="B24" s="23">
        <v>7.0000000000000007E-2</v>
      </c>
      <c r="C24" s="24" t="s">
        <v>182</v>
      </c>
      <c r="D24" s="25" t="s">
        <v>62</v>
      </c>
      <c r="E24" s="26" t="s">
        <v>183</v>
      </c>
    </row>
    <row r="25" spans="1:5" x14ac:dyDescent="0.3">
      <c r="A25" s="22" t="s">
        <v>184</v>
      </c>
      <c r="B25" s="27">
        <f>44/28</f>
        <v>1.5714285714285714</v>
      </c>
      <c r="C25" s="24" t="s">
        <v>185</v>
      </c>
      <c r="D25" s="25" t="s">
        <v>186</v>
      </c>
      <c r="E25" s="26" t="s">
        <v>187</v>
      </c>
    </row>
  </sheetData>
  <mergeCells count="2">
    <mergeCell ref="A1:H1"/>
    <mergeCell ref="A2:H2"/>
  </mergeCells>
  <dataValidations count="4">
    <dataValidation type="list" sqref="B4" xr:uid="{00000000-0002-0000-0200-000000000000}">
      <formula1>"wet,dry"</formula1>
    </dataValidation>
    <dataValidation type="list" sqref="B5" xr:uid="{00000000-0002-0000-0200-000001000000}">
      <formula1>"yes,no"</formula1>
    </dataValidation>
    <dataValidation type="list" sqref="B6" xr:uid="{00000000-0002-0000-0200-000002000000}">
      <formula1>"decrease,increase,flat"</formula1>
    </dataValidation>
    <dataValidation type="list" sqref="B7" xr:uid="{00000000-0002-0000-0200-000003000000}">
      <formula1>"QA3,QA1"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showGridLines="0"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1" width="34" customWidth="1"/>
    <col min="2" max="2" width="14" customWidth="1"/>
    <col min="3" max="3" width="18" customWidth="1"/>
    <col min="4" max="4" width="16" customWidth="1"/>
    <col min="5" max="5" width="40" customWidth="1"/>
  </cols>
  <sheetData>
    <row r="1" spans="1:8" ht="28.05" customHeight="1" x14ac:dyDescent="0.3">
      <c r="A1" s="70" t="s">
        <v>114</v>
      </c>
      <c r="B1" s="70"/>
      <c r="C1" s="70"/>
      <c r="D1" s="70"/>
      <c r="E1" s="70"/>
      <c r="F1" s="70"/>
      <c r="G1" s="70"/>
      <c r="H1" s="70"/>
    </row>
    <row r="2" spans="1:8" x14ac:dyDescent="0.3">
      <c r="A2" s="71" t="s">
        <v>188</v>
      </c>
      <c r="B2" s="71"/>
      <c r="C2" s="71"/>
      <c r="D2" s="71"/>
      <c r="E2" s="71"/>
      <c r="F2" s="71"/>
      <c r="G2" s="71"/>
      <c r="H2" s="71"/>
    </row>
    <row r="3" spans="1:8" ht="27.6" x14ac:dyDescent="0.3">
      <c r="A3" s="19" t="s">
        <v>189</v>
      </c>
      <c r="B3" s="19" t="s">
        <v>190</v>
      </c>
      <c r="C3" s="19" t="s">
        <v>191</v>
      </c>
      <c r="D3" s="19" t="s">
        <v>192</v>
      </c>
      <c r="E3" s="19" t="s">
        <v>193</v>
      </c>
    </row>
    <row r="4" spans="1:8" x14ac:dyDescent="0.3">
      <c r="A4" s="10" t="s">
        <v>194</v>
      </c>
      <c r="B4" s="28">
        <v>0.46</v>
      </c>
      <c r="C4" s="10" t="s">
        <v>195</v>
      </c>
      <c r="D4" s="10"/>
      <c r="E4" s="29" t="s">
        <v>196</v>
      </c>
    </row>
    <row r="5" spans="1:8" x14ac:dyDescent="0.3">
      <c r="A5" s="10" t="s">
        <v>197</v>
      </c>
      <c r="B5" s="28">
        <v>0.32</v>
      </c>
      <c r="C5" s="10" t="s">
        <v>195</v>
      </c>
      <c r="D5" s="10"/>
      <c r="E5" s="29" t="s">
        <v>198</v>
      </c>
    </row>
    <row r="6" spans="1:8" x14ac:dyDescent="0.3">
      <c r="A6" s="10" t="s">
        <v>199</v>
      </c>
      <c r="B6" s="28">
        <v>0.34</v>
      </c>
      <c r="C6" s="10" t="s">
        <v>200</v>
      </c>
      <c r="D6" s="10"/>
      <c r="E6" s="29"/>
    </row>
    <row r="7" spans="1:8" x14ac:dyDescent="0.3">
      <c r="A7" s="10" t="s">
        <v>201</v>
      </c>
      <c r="B7" s="28">
        <v>0.21</v>
      </c>
      <c r="C7" s="10" t="s">
        <v>200</v>
      </c>
      <c r="D7" s="10"/>
      <c r="E7" s="29"/>
    </row>
    <row r="8" spans="1:8" x14ac:dyDescent="0.3">
      <c r="A8" s="10" t="s">
        <v>202</v>
      </c>
      <c r="B8" s="28">
        <v>0.21</v>
      </c>
      <c r="C8" s="10" t="s">
        <v>200</v>
      </c>
      <c r="D8" s="10"/>
      <c r="E8" s="29"/>
    </row>
    <row r="9" spans="1:8" x14ac:dyDescent="0.3">
      <c r="A9" s="10" t="s">
        <v>203</v>
      </c>
      <c r="B9" s="28">
        <v>0.12</v>
      </c>
      <c r="C9" s="10" t="s">
        <v>200</v>
      </c>
      <c r="D9" s="10"/>
      <c r="E9" s="29"/>
    </row>
    <row r="10" spans="1:8" x14ac:dyDescent="0.3">
      <c r="A10" s="10" t="s">
        <v>204</v>
      </c>
      <c r="B10" s="28">
        <v>0.08</v>
      </c>
      <c r="C10" s="10" t="s">
        <v>200</v>
      </c>
      <c r="D10" s="10"/>
      <c r="E10" s="29" t="s">
        <v>205</v>
      </c>
    </row>
    <row r="11" spans="1:8" x14ac:dyDescent="0.3">
      <c r="A11" s="10" t="s">
        <v>206</v>
      </c>
      <c r="B11" s="28">
        <v>0.09</v>
      </c>
      <c r="C11" s="10" t="s">
        <v>200</v>
      </c>
      <c r="D11" s="10"/>
      <c r="E11" s="29"/>
    </row>
    <row r="12" spans="1:8" x14ac:dyDescent="0.3">
      <c r="A12" s="10" t="s">
        <v>207</v>
      </c>
      <c r="B12" s="28">
        <v>0.12</v>
      </c>
      <c r="C12" s="10" t="s">
        <v>200</v>
      </c>
      <c r="D12" s="10"/>
      <c r="E12" s="29"/>
    </row>
    <row r="13" spans="1:8" x14ac:dyDescent="0.3">
      <c r="A13" s="10" t="s">
        <v>208</v>
      </c>
      <c r="B13" s="28">
        <v>0.15</v>
      </c>
      <c r="C13" s="10" t="s">
        <v>200</v>
      </c>
      <c r="D13" s="10"/>
      <c r="E13" s="29"/>
    </row>
    <row r="14" spans="1:8" x14ac:dyDescent="0.3">
      <c r="A14" s="10" t="s">
        <v>209</v>
      </c>
      <c r="B14" s="28">
        <v>0.2</v>
      </c>
      <c r="C14" s="10" t="s">
        <v>200</v>
      </c>
      <c r="D14" s="10"/>
      <c r="E14" s="29"/>
    </row>
    <row r="15" spans="1:8" x14ac:dyDescent="0.3">
      <c r="A15" s="10" t="s">
        <v>210</v>
      </c>
      <c r="B15" s="28">
        <v>0.11</v>
      </c>
      <c r="C15" s="10" t="s">
        <v>200</v>
      </c>
      <c r="D15" s="10"/>
      <c r="E15" s="29"/>
    </row>
    <row r="16" spans="1:8" x14ac:dyDescent="0.3">
      <c r="A16" s="10" t="s">
        <v>211</v>
      </c>
      <c r="B16" s="28">
        <v>0.18</v>
      </c>
      <c r="C16" s="10" t="s">
        <v>200</v>
      </c>
      <c r="D16" s="10"/>
      <c r="E16" s="29"/>
    </row>
    <row r="17" spans="1:5" x14ac:dyDescent="0.3">
      <c r="A17" s="10" t="s">
        <v>212</v>
      </c>
      <c r="B17" s="28">
        <v>0.13</v>
      </c>
      <c r="C17" s="10" t="s">
        <v>200</v>
      </c>
      <c r="D17" s="10"/>
      <c r="E17" s="29"/>
    </row>
    <row r="18" spans="1:5" x14ac:dyDescent="0.3">
      <c r="A18" s="10" t="s">
        <v>213</v>
      </c>
      <c r="B18" s="28">
        <v>0.155</v>
      </c>
      <c r="C18" s="10" t="s">
        <v>200</v>
      </c>
      <c r="D18" s="10"/>
      <c r="E18" s="29"/>
    </row>
    <row r="19" spans="1:5" x14ac:dyDescent="0.3">
      <c r="A19" s="10" t="s">
        <v>214</v>
      </c>
      <c r="B19" s="28">
        <v>1.4999999999999999E-2</v>
      </c>
      <c r="C19" s="10" t="s">
        <v>215</v>
      </c>
      <c r="D19" s="10">
        <v>0.6</v>
      </c>
      <c r="E19" s="29" t="s">
        <v>216</v>
      </c>
    </row>
    <row r="20" spans="1:5" x14ac:dyDescent="0.3">
      <c r="A20" s="10" t="s">
        <v>217</v>
      </c>
      <c r="B20" s="28">
        <v>6.0000000000000001E-3</v>
      </c>
      <c r="C20" s="10" t="s">
        <v>215</v>
      </c>
      <c r="D20" s="10">
        <v>0.8</v>
      </c>
      <c r="E20" s="29" t="s">
        <v>218</v>
      </c>
    </row>
    <row r="21" spans="1:5" x14ac:dyDescent="0.3">
      <c r="A21" s="10" t="s">
        <v>219</v>
      </c>
      <c r="B21" s="28">
        <v>0.03</v>
      </c>
      <c r="C21" s="10" t="s">
        <v>215</v>
      </c>
      <c r="D21" s="10">
        <v>0.7</v>
      </c>
      <c r="E21" s="29" t="s">
        <v>218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showGridLines="0" workbookViewId="0">
      <pane ySplit="4" topLeftCell="A5" activePane="bottomLeft" state="frozen"/>
      <selection pane="bottomLeft" sqref="A1:H1"/>
    </sheetView>
  </sheetViews>
  <sheetFormatPr defaultRowHeight="14.4" x14ac:dyDescent="0.3"/>
  <cols>
    <col min="1" max="1" width="22" customWidth="1"/>
    <col min="2" max="3" width="12" customWidth="1"/>
    <col min="4" max="5" width="14" customWidth="1"/>
    <col min="6" max="6" width="12" customWidth="1"/>
    <col min="7" max="7" width="16" customWidth="1"/>
    <col min="8" max="8" width="30" customWidth="1"/>
  </cols>
  <sheetData>
    <row r="1" spans="1:8" ht="28.05" customHeight="1" x14ac:dyDescent="0.3">
      <c r="A1" s="70" t="s">
        <v>220</v>
      </c>
      <c r="B1" s="70"/>
      <c r="C1" s="70"/>
      <c r="D1" s="70"/>
      <c r="E1" s="70"/>
      <c r="F1" s="70"/>
      <c r="G1" s="70"/>
      <c r="H1" s="70"/>
    </row>
    <row r="2" spans="1:8" x14ac:dyDescent="0.3">
      <c r="A2" s="71" t="s">
        <v>221</v>
      </c>
      <c r="B2" s="71"/>
      <c r="C2" s="71"/>
      <c r="D2" s="71"/>
      <c r="E2" s="71"/>
      <c r="F2" s="71"/>
      <c r="G2" s="71"/>
      <c r="H2" s="71"/>
    </row>
    <row r="3" spans="1:8" x14ac:dyDescent="0.3">
      <c r="A3" s="75" t="s">
        <v>222</v>
      </c>
      <c r="B3" s="75"/>
      <c r="C3" s="75"/>
      <c r="D3" s="75"/>
      <c r="E3" s="75"/>
      <c r="F3" s="75"/>
      <c r="G3" s="75"/>
      <c r="H3" s="75"/>
    </row>
    <row r="4" spans="1:8" x14ac:dyDescent="0.3">
      <c r="A4" s="19" t="s">
        <v>223</v>
      </c>
      <c r="B4" s="19" t="s">
        <v>224</v>
      </c>
      <c r="C4" s="19" t="s">
        <v>225</v>
      </c>
      <c r="D4" s="19" t="s">
        <v>226</v>
      </c>
      <c r="E4" s="19" t="s">
        <v>227</v>
      </c>
      <c r="F4" s="19" t="s">
        <v>228</v>
      </c>
      <c r="G4" s="19" t="s">
        <v>229</v>
      </c>
      <c r="H4" s="19" t="s">
        <v>230</v>
      </c>
    </row>
    <row r="5" spans="1:8" x14ac:dyDescent="0.3">
      <c r="A5" s="13" t="s">
        <v>231</v>
      </c>
      <c r="B5" s="13">
        <v>120</v>
      </c>
      <c r="C5" s="30">
        <f>IF(B5="","",B5*0.7457)</f>
        <v>89.484000000000009</v>
      </c>
      <c r="D5" s="13">
        <v>0.55000000000000004</v>
      </c>
      <c r="E5" s="13">
        <v>0.27</v>
      </c>
      <c r="F5" s="13">
        <v>6</v>
      </c>
      <c r="G5" s="13">
        <v>50</v>
      </c>
      <c r="H5" s="31">
        <f>IF(C5="","",C5*D5*E5*F5*G5)</f>
        <v>3986.5122000000006</v>
      </c>
    </row>
    <row r="6" spans="1:8" x14ac:dyDescent="0.3">
      <c r="A6" s="13" t="s">
        <v>232</v>
      </c>
      <c r="B6" s="13">
        <v>80</v>
      </c>
      <c r="C6" s="30">
        <f>IF(B6="","",B6*0.7457)</f>
        <v>59.656000000000006</v>
      </c>
      <c r="D6" s="13">
        <v>0.45</v>
      </c>
      <c r="E6" s="13">
        <v>0.27</v>
      </c>
      <c r="F6" s="13">
        <v>3</v>
      </c>
      <c r="G6" s="13">
        <v>50</v>
      </c>
      <c r="H6" s="31">
        <f>IF(C6="","",C6*D6*E6*F6*G6)</f>
        <v>1087.2306000000001</v>
      </c>
    </row>
    <row r="7" spans="1:8" x14ac:dyDescent="0.3">
      <c r="A7" s="13" t="s">
        <v>233</v>
      </c>
      <c r="B7" s="13">
        <v>250</v>
      </c>
      <c r="C7" s="30">
        <f>IF(B7="","",B7*0.7457)</f>
        <v>186.42500000000001</v>
      </c>
      <c r="D7" s="13">
        <v>0.6</v>
      </c>
      <c r="E7" s="13">
        <v>0.27</v>
      </c>
      <c r="F7" s="13">
        <v>1.5</v>
      </c>
      <c r="G7" s="13">
        <v>50</v>
      </c>
      <c r="H7" s="31">
        <f>IF(C7="","",C7*D7*E7*F7*G7)</f>
        <v>2265.0637500000003</v>
      </c>
    </row>
    <row r="8" spans="1:8" x14ac:dyDescent="0.3">
      <c r="A8" s="13"/>
      <c r="B8" s="13"/>
      <c r="C8" s="30" t="str">
        <f>IF(B8="","",B8*0.7457)</f>
        <v/>
      </c>
      <c r="D8" s="13"/>
      <c r="E8" s="13"/>
      <c r="F8" s="13"/>
      <c r="G8" s="13"/>
      <c r="H8" s="31" t="str">
        <f>IF(C8="","",C8*D8*E8*F8*G8)</f>
        <v/>
      </c>
    </row>
    <row r="9" spans="1:8" x14ac:dyDescent="0.3">
      <c r="G9" s="32" t="s">
        <v>234</v>
      </c>
      <c r="H9" s="33">
        <f>SUM(H5:H8)</f>
        <v>7338.8065500000012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5"/>
  <sheetViews>
    <sheetView showGridLines="0" workbookViewId="0">
      <pane ySplit="6" topLeftCell="A7" activePane="bottomLeft" state="frozen"/>
      <selection pane="bottomLeft" sqref="A1:H1"/>
    </sheetView>
  </sheetViews>
  <sheetFormatPr defaultRowHeight="14.4" x14ac:dyDescent="0.3"/>
  <cols>
    <col min="1" max="1" width="14" customWidth="1"/>
    <col min="2" max="2" width="7" customWidth="1"/>
    <col min="3" max="3" width="8" customWidth="1"/>
    <col min="4" max="4" width="22" customWidth="1"/>
    <col min="8" max="8" width="20" customWidth="1"/>
    <col min="11" max="11" width="20" customWidth="1"/>
    <col min="14" max="14" width="20" customWidth="1"/>
    <col min="17" max="19" width="10" customWidth="1"/>
    <col min="20" max="20" width="12" customWidth="1"/>
    <col min="21" max="21" width="11" customWidth="1"/>
  </cols>
  <sheetData>
    <row r="1" spans="1:21" ht="28.05" customHeight="1" x14ac:dyDescent="0.3">
      <c r="A1" s="70" t="s">
        <v>235</v>
      </c>
      <c r="B1" s="70"/>
      <c r="C1" s="70"/>
      <c r="D1" s="70"/>
      <c r="E1" s="70"/>
      <c r="F1" s="70"/>
      <c r="G1" s="70"/>
      <c r="H1" s="70"/>
    </row>
    <row r="2" spans="1:21" x14ac:dyDescent="0.3">
      <c r="A2" s="71" t="s">
        <v>236</v>
      </c>
      <c r="B2" s="71"/>
      <c r="C2" s="71"/>
      <c r="D2" s="71"/>
      <c r="E2" s="71"/>
      <c r="F2" s="71"/>
      <c r="G2" s="71"/>
      <c r="H2" s="71"/>
    </row>
    <row r="4" spans="1:21" x14ac:dyDescent="0.3">
      <c r="A4" s="76" t="s">
        <v>237</v>
      </c>
      <c r="B4" s="76" t="s">
        <v>238</v>
      </c>
      <c r="C4" s="76" t="s">
        <v>239</v>
      </c>
      <c r="D4" s="76" t="s">
        <v>240</v>
      </c>
      <c r="E4" s="76"/>
      <c r="F4" s="76"/>
      <c r="G4" s="76"/>
      <c r="H4" s="76" t="s">
        <v>241</v>
      </c>
      <c r="I4" s="76"/>
      <c r="J4" s="76"/>
      <c r="K4" s="76" t="s">
        <v>242</v>
      </c>
      <c r="L4" s="76"/>
      <c r="M4" s="76"/>
      <c r="N4" s="76" t="s">
        <v>243</v>
      </c>
      <c r="O4" s="76"/>
      <c r="P4" s="76"/>
      <c r="Q4" s="76" t="s">
        <v>244</v>
      </c>
      <c r="R4" s="76"/>
      <c r="S4" s="76" t="s">
        <v>245</v>
      </c>
      <c r="T4" s="76" t="s">
        <v>246</v>
      </c>
      <c r="U4" s="76"/>
    </row>
    <row r="5" spans="1:21" ht="27.6" x14ac:dyDescent="0.3">
      <c r="A5" s="76"/>
      <c r="B5" s="76"/>
      <c r="C5" s="76"/>
      <c r="D5" s="19" t="s">
        <v>247</v>
      </c>
      <c r="E5" s="19" t="s">
        <v>248</v>
      </c>
      <c r="F5" s="19" t="s">
        <v>249</v>
      </c>
      <c r="G5" s="19" t="s">
        <v>250</v>
      </c>
      <c r="H5" s="19" t="s">
        <v>247</v>
      </c>
      <c r="I5" s="19" t="s">
        <v>248</v>
      </c>
      <c r="J5" s="19" t="s">
        <v>249</v>
      </c>
      <c r="K5" s="19" t="s">
        <v>247</v>
      </c>
      <c r="L5" s="19" t="s">
        <v>248</v>
      </c>
      <c r="M5" s="19" t="s">
        <v>249</v>
      </c>
      <c r="N5" s="19" t="s">
        <v>247</v>
      </c>
      <c r="O5" s="19" t="s">
        <v>248</v>
      </c>
      <c r="P5" s="19" t="s">
        <v>249</v>
      </c>
      <c r="Q5" s="19" t="s">
        <v>230</v>
      </c>
      <c r="R5" s="19" t="s">
        <v>251</v>
      </c>
      <c r="S5" s="76"/>
      <c r="T5" s="19" t="s">
        <v>252</v>
      </c>
      <c r="U5" s="19" t="s">
        <v>253</v>
      </c>
    </row>
    <row r="6" spans="1:21" x14ac:dyDescent="0.3">
      <c r="A6" s="10" t="s">
        <v>254</v>
      </c>
      <c r="B6" s="10">
        <v>2022</v>
      </c>
      <c r="C6" s="34">
        <v>50</v>
      </c>
      <c r="D6" s="10" t="s">
        <v>214</v>
      </c>
      <c r="E6" s="35">
        <v>500</v>
      </c>
      <c r="F6" s="36">
        <f>IFERROR(VLOOKUP(D6,'Fertilizer Library'!$A:$B,2,FALSE),"")</f>
        <v>1.4999999999999999E-2</v>
      </c>
      <c r="G6" s="10">
        <v>10</v>
      </c>
      <c r="H6" s="10" t="s">
        <v>197</v>
      </c>
      <c r="I6" s="35">
        <v>40</v>
      </c>
      <c r="J6" s="36">
        <f>IFERROR(VLOOKUP(H6,'Fertilizer Library'!$A:$B,2,FALSE),"")</f>
        <v>0.32</v>
      </c>
      <c r="K6" s="10" t="s">
        <v>204</v>
      </c>
      <c r="L6" s="35">
        <v>25</v>
      </c>
      <c r="M6" s="36">
        <f>IFERROR(VLOOKUP(K6,'Fertilizer Library'!$A:$B,2,FALSE),"")</f>
        <v>0.08</v>
      </c>
      <c r="N6" s="10"/>
      <c r="O6" s="35"/>
      <c r="P6" s="36" t="str">
        <f>IFERROR(VLOOKUP(N6,'Fertilizer Library'!$A:$B,2,FALSE),"")</f>
        <v/>
      </c>
      <c r="Q6" s="37">
        <v>9000</v>
      </c>
      <c r="R6" s="37"/>
      <c r="S6" s="37">
        <v>0</v>
      </c>
      <c r="T6" s="35">
        <v>0</v>
      </c>
      <c r="U6" s="28"/>
    </row>
    <row r="7" spans="1:21" x14ac:dyDescent="0.3">
      <c r="A7" s="10" t="s">
        <v>254</v>
      </c>
      <c r="B7" s="10">
        <v>2023</v>
      </c>
      <c r="C7" s="34">
        <v>50</v>
      </c>
      <c r="D7" s="10"/>
      <c r="E7" s="35">
        <v>0</v>
      </c>
      <c r="F7" s="36" t="str">
        <f>IFERROR(VLOOKUP(D7,'Fertilizer Library'!$A:$B,2,FALSE),"")</f>
        <v/>
      </c>
      <c r="G7" s="10">
        <v>10</v>
      </c>
      <c r="H7" s="10" t="s">
        <v>197</v>
      </c>
      <c r="I7" s="35">
        <v>42</v>
      </c>
      <c r="J7" s="36">
        <f>IFERROR(VLOOKUP(H7,'Fertilizer Library'!$A:$B,2,FALSE),"")</f>
        <v>0.32</v>
      </c>
      <c r="K7" s="10" t="s">
        <v>204</v>
      </c>
      <c r="L7" s="35">
        <v>28</v>
      </c>
      <c r="M7" s="36">
        <f>IFERROR(VLOOKUP(K7,'Fertilizer Library'!$A:$B,2,FALSE),"")</f>
        <v>0.08</v>
      </c>
      <c r="N7" s="10"/>
      <c r="O7" s="35"/>
      <c r="P7" s="36" t="str">
        <f>IFERROR(VLOOKUP(N7,'Fertilizer Library'!$A:$B,2,FALSE),"")</f>
        <v/>
      </c>
      <c r="Q7" s="37">
        <v>9200</v>
      </c>
      <c r="R7" s="37"/>
      <c r="S7" s="37">
        <v>0</v>
      </c>
      <c r="T7" s="35">
        <v>0</v>
      </c>
      <c r="U7" s="28"/>
    </row>
    <row r="8" spans="1:21" x14ac:dyDescent="0.3">
      <c r="A8" s="10" t="s">
        <v>254</v>
      </c>
      <c r="B8" s="10">
        <v>2024</v>
      </c>
      <c r="C8" s="34">
        <v>50</v>
      </c>
      <c r="D8" s="10"/>
      <c r="E8" s="35">
        <v>0</v>
      </c>
      <c r="F8" s="36" t="str">
        <f>IFERROR(VLOOKUP(D8,'Fertilizer Library'!$A:$B,2,FALSE),"")</f>
        <v/>
      </c>
      <c r="G8" s="10">
        <v>10</v>
      </c>
      <c r="H8" s="10" t="s">
        <v>197</v>
      </c>
      <c r="I8" s="35">
        <v>38</v>
      </c>
      <c r="J8" s="36">
        <f>IFERROR(VLOOKUP(H8,'Fertilizer Library'!$A:$B,2,FALSE),"")</f>
        <v>0.32</v>
      </c>
      <c r="K8" s="10" t="s">
        <v>206</v>
      </c>
      <c r="L8" s="35">
        <v>22</v>
      </c>
      <c r="M8" s="36">
        <f>IFERROR(VLOOKUP(K8,'Fertilizer Library'!$A:$B,2,FALSE),"")</f>
        <v>0.09</v>
      </c>
      <c r="N8" s="10"/>
      <c r="O8" s="35"/>
      <c r="P8" s="36" t="str">
        <f>IFERROR(VLOOKUP(N8,'Fertilizer Library'!$A:$B,2,FALSE),"")</f>
        <v/>
      </c>
      <c r="Q8" s="37">
        <v>8800</v>
      </c>
      <c r="R8" s="37"/>
      <c r="S8" s="37">
        <v>0</v>
      </c>
      <c r="T8" s="35">
        <v>0</v>
      </c>
      <c r="U8" s="28"/>
    </row>
    <row r="9" spans="1:21" x14ac:dyDescent="0.3">
      <c r="A9" s="10" t="s">
        <v>255</v>
      </c>
      <c r="B9" s="10">
        <v>2022</v>
      </c>
      <c r="C9" s="34">
        <v>30</v>
      </c>
      <c r="D9" s="10" t="s">
        <v>217</v>
      </c>
      <c r="E9" s="35">
        <v>120</v>
      </c>
      <c r="F9" s="36">
        <f>IFERROR(VLOOKUP(D9,'Fertilizer Library'!$A:$B,2,FALSE),"")</f>
        <v>6.0000000000000001E-3</v>
      </c>
      <c r="G9" s="10">
        <v>1</v>
      </c>
      <c r="H9" s="10" t="s">
        <v>201</v>
      </c>
      <c r="I9" s="35">
        <v>30</v>
      </c>
      <c r="J9" s="36">
        <f>IFERROR(VLOOKUP(H9,'Fertilizer Library'!$A:$B,2,FALSE),"")</f>
        <v>0.21</v>
      </c>
      <c r="K9" s="10"/>
      <c r="L9" s="35"/>
      <c r="M9" s="36" t="str">
        <f>IFERROR(VLOOKUP(K9,'Fertilizer Library'!$A:$B,2,FALSE),"")</f>
        <v/>
      </c>
      <c r="N9" s="10"/>
      <c r="O9" s="35"/>
      <c r="P9" s="36" t="str">
        <f>IFERROR(VLOOKUP(N9,'Fertilizer Library'!$A:$B,2,FALSE),"")</f>
        <v/>
      </c>
      <c r="Q9" s="37">
        <v>5400</v>
      </c>
      <c r="R9" s="37"/>
      <c r="S9" s="37">
        <v>1500</v>
      </c>
      <c r="T9" s="35">
        <v>2</v>
      </c>
      <c r="U9" s="28">
        <v>0.02</v>
      </c>
    </row>
    <row r="10" spans="1:21" x14ac:dyDescent="0.3">
      <c r="A10" s="10" t="s">
        <v>255</v>
      </c>
      <c r="B10" s="10">
        <v>2023</v>
      </c>
      <c r="C10" s="34">
        <v>30</v>
      </c>
      <c r="D10" s="10" t="s">
        <v>217</v>
      </c>
      <c r="E10" s="35">
        <v>110</v>
      </c>
      <c r="F10" s="36">
        <f>IFERROR(VLOOKUP(D10,'Fertilizer Library'!$A:$B,2,FALSE),"")</f>
        <v>6.0000000000000001E-3</v>
      </c>
      <c r="G10" s="10">
        <v>1</v>
      </c>
      <c r="H10" s="10" t="s">
        <v>201</v>
      </c>
      <c r="I10" s="35">
        <v>32</v>
      </c>
      <c r="J10" s="36">
        <f>IFERROR(VLOOKUP(H10,'Fertilizer Library'!$A:$B,2,FALSE),"")</f>
        <v>0.21</v>
      </c>
      <c r="K10" s="10"/>
      <c r="L10" s="35"/>
      <c r="M10" s="36" t="str">
        <f>IFERROR(VLOOKUP(K10,'Fertilizer Library'!$A:$B,2,FALSE),"")</f>
        <v/>
      </c>
      <c r="N10" s="10"/>
      <c r="O10" s="35"/>
      <c r="P10" s="36" t="str">
        <f>IFERROR(VLOOKUP(N10,'Fertilizer Library'!$A:$B,2,FALSE),"")</f>
        <v/>
      </c>
      <c r="Q10" s="37">
        <v>5600</v>
      </c>
      <c r="R10" s="37"/>
      <c r="S10" s="37">
        <v>1400</v>
      </c>
      <c r="T10" s="35">
        <v>2.2000000000000002</v>
      </c>
      <c r="U10" s="28">
        <v>0.02</v>
      </c>
    </row>
    <row r="11" spans="1:21" x14ac:dyDescent="0.3">
      <c r="A11" s="10" t="s">
        <v>255</v>
      </c>
      <c r="B11" s="10">
        <v>2024</v>
      </c>
      <c r="C11" s="34">
        <v>30</v>
      </c>
      <c r="D11" s="10" t="s">
        <v>217</v>
      </c>
      <c r="E11" s="35">
        <v>130</v>
      </c>
      <c r="F11" s="36">
        <f>IFERROR(VLOOKUP(D11,'Fertilizer Library'!$A:$B,2,FALSE),"")</f>
        <v>6.0000000000000001E-3</v>
      </c>
      <c r="G11" s="10">
        <v>1</v>
      </c>
      <c r="H11" s="10" t="s">
        <v>201</v>
      </c>
      <c r="I11" s="35">
        <v>28</v>
      </c>
      <c r="J11" s="36">
        <f>IFERROR(VLOOKUP(H11,'Fertilizer Library'!$A:$B,2,FALSE),"")</f>
        <v>0.21</v>
      </c>
      <c r="K11" s="10"/>
      <c r="L11" s="35"/>
      <c r="M11" s="36" t="str">
        <f>IFERROR(VLOOKUP(K11,'Fertilizer Library'!$A:$B,2,FALSE),"")</f>
        <v/>
      </c>
      <c r="N11" s="10"/>
      <c r="O11" s="35"/>
      <c r="P11" s="36" t="str">
        <f>IFERROR(VLOOKUP(N11,'Fertilizer Library'!$A:$B,2,FALSE),"")</f>
        <v/>
      </c>
      <c r="Q11" s="37">
        <v>5200</v>
      </c>
      <c r="R11" s="37"/>
      <c r="S11" s="37">
        <v>1600</v>
      </c>
      <c r="T11" s="35">
        <v>1.8</v>
      </c>
      <c r="U11" s="28">
        <v>0.02</v>
      </c>
    </row>
    <row r="12" spans="1:21" x14ac:dyDescent="0.3">
      <c r="A12" s="13"/>
      <c r="B12" s="13"/>
      <c r="C12" s="13"/>
      <c r="D12" s="13"/>
      <c r="E12" s="13"/>
      <c r="F12" s="36" t="str">
        <f>IFERROR(VLOOKUP(D12,'Fertilizer Library'!$A:$B,2,FALSE),"")</f>
        <v/>
      </c>
      <c r="G12" s="13"/>
      <c r="H12" s="13"/>
      <c r="I12" s="13"/>
      <c r="J12" s="36" t="str">
        <f>IFERROR(VLOOKUP(H12,'Fertilizer Library'!$A:$B,2,FALSE),"")</f>
        <v/>
      </c>
      <c r="K12" s="13"/>
      <c r="L12" s="13"/>
      <c r="M12" s="36" t="str">
        <f>IFERROR(VLOOKUP(K12,'Fertilizer Library'!$A:$B,2,FALSE),"")</f>
        <v/>
      </c>
      <c r="N12" s="13"/>
      <c r="O12" s="13"/>
      <c r="P12" s="36" t="str">
        <f>IFERROR(VLOOKUP(N12,'Fertilizer Library'!$A:$B,2,FALSE),"")</f>
        <v/>
      </c>
      <c r="Q12" s="13"/>
      <c r="R12" s="13"/>
      <c r="S12" s="13"/>
      <c r="T12" s="13"/>
      <c r="U12" s="13"/>
    </row>
    <row r="13" spans="1:21" x14ac:dyDescent="0.3">
      <c r="A13" s="13"/>
      <c r="B13" s="13"/>
      <c r="C13" s="13"/>
      <c r="D13" s="13"/>
      <c r="E13" s="13"/>
      <c r="F13" s="36" t="str">
        <f>IFERROR(VLOOKUP(D13,'Fertilizer Library'!$A:$B,2,FALSE),"")</f>
        <v/>
      </c>
      <c r="G13" s="13"/>
      <c r="H13" s="13"/>
      <c r="I13" s="13"/>
      <c r="J13" s="36" t="str">
        <f>IFERROR(VLOOKUP(H13,'Fertilizer Library'!$A:$B,2,FALSE),"")</f>
        <v/>
      </c>
      <c r="K13" s="13"/>
      <c r="L13" s="13"/>
      <c r="M13" s="36" t="str">
        <f>IFERROR(VLOOKUP(K13,'Fertilizer Library'!$A:$B,2,FALSE),"")</f>
        <v/>
      </c>
      <c r="N13" s="13"/>
      <c r="O13" s="13"/>
      <c r="P13" s="36" t="str">
        <f>IFERROR(VLOOKUP(N13,'Fertilizer Library'!$A:$B,2,FALSE),"")</f>
        <v/>
      </c>
      <c r="Q13" s="13"/>
      <c r="R13" s="13"/>
      <c r="S13" s="13"/>
      <c r="T13" s="13"/>
      <c r="U13" s="13"/>
    </row>
    <row r="14" spans="1:21" x14ac:dyDescent="0.3">
      <c r="A14" s="13"/>
      <c r="B14" s="13"/>
      <c r="C14" s="13"/>
      <c r="D14" s="13"/>
      <c r="E14" s="13"/>
      <c r="F14" s="36" t="str">
        <f>IFERROR(VLOOKUP(D14,'Fertilizer Library'!$A:$B,2,FALSE),"")</f>
        <v/>
      </c>
      <c r="G14" s="13"/>
      <c r="H14" s="13"/>
      <c r="I14" s="13"/>
      <c r="J14" s="36" t="str">
        <f>IFERROR(VLOOKUP(H14,'Fertilizer Library'!$A:$B,2,FALSE),"")</f>
        <v/>
      </c>
      <c r="K14" s="13"/>
      <c r="L14" s="13"/>
      <c r="M14" s="36" t="str">
        <f>IFERROR(VLOOKUP(K14,'Fertilizer Library'!$A:$B,2,FALSE),"")</f>
        <v/>
      </c>
      <c r="N14" s="13"/>
      <c r="O14" s="13"/>
      <c r="P14" s="36" t="str">
        <f>IFERROR(VLOOKUP(N14,'Fertilizer Library'!$A:$B,2,FALSE),"")</f>
        <v/>
      </c>
      <c r="Q14" s="13"/>
      <c r="R14" s="13"/>
      <c r="S14" s="13"/>
      <c r="T14" s="13"/>
      <c r="U14" s="13"/>
    </row>
    <row r="15" spans="1:21" x14ac:dyDescent="0.3">
      <c r="A15" s="13"/>
      <c r="B15" s="13"/>
      <c r="C15" s="13"/>
      <c r="D15" s="13"/>
      <c r="E15" s="13"/>
      <c r="F15" s="36" t="str">
        <f>IFERROR(VLOOKUP(D15,'Fertilizer Library'!$A:$B,2,FALSE),"")</f>
        <v/>
      </c>
      <c r="G15" s="13"/>
      <c r="H15" s="13"/>
      <c r="I15" s="13"/>
      <c r="J15" s="36" t="str">
        <f>IFERROR(VLOOKUP(H15,'Fertilizer Library'!$A:$B,2,FALSE),"")</f>
        <v/>
      </c>
      <c r="K15" s="13"/>
      <c r="L15" s="13"/>
      <c r="M15" s="36" t="str">
        <f>IFERROR(VLOOKUP(K15,'Fertilizer Library'!$A:$B,2,FALSE),"")</f>
        <v/>
      </c>
      <c r="N15" s="13"/>
      <c r="O15" s="13"/>
      <c r="P15" s="36" t="str">
        <f>IFERROR(VLOOKUP(N15,'Fertilizer Library'!$A:$B,2,FALSE),"")</f>
        <v/>
      </c>
      <c r="Q15" s="13"/>
      <c r="R15" s="13"/>
      <c r="S15" s="13"/>
      <c r="T15" s="13"/>
      <c r="U15" s="13"/>
    </row>
  </sheetData>
  <mergeCells count="12">
    <mergeCell ref="N4:P4"/>
    <mergeCell ref="Q4:R4"/>
    <mergeCell ref="T4:U4"/>
    <mergeCell ref="A4:A5"/>
    <mergeCell ref="B4:B5"/>
    <mergeCell ref="C4:C5"/>
    <mergeCell ref="S4:S5"/>
    <mergeCell ref="A1:H1"/>
    <mergeCell ref="A2:H2"/>
    <mergeCell ref="D4:G4"/>
    <mergeCell ref="H4:J4"/>
    <mergeCell ref="K4:M4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1"/>
  <sheetViews>
    <sheetView showGridLines="0" workbookViewId="0">
      <pane ySplit="6" topLeftCell="A7" activePane="bottomLeft" state="frozen"/>
      <selection pane="bottomLeft" sqref="A1:H1"/>
    </sheetView>
  </sheetViews>
  <sheetFormatPr defaultRowHeight="14.4" x14ac:dyDescent="0.3"/>
  <cols>
    <col min="1" max="1" width="14" customWidth="1"/>
    <col min="2" max="2" width="7" customWidth="1"/>
    <col min="3" max="3" width="8" customWidth="1"/>
    <col min="4" max="4" width="22" customWidth="1"/>
    <col min="8" max="8" width="20" customWidth="1"/>
    <col min="11" max="11" width="20" customWidth="1"/>
    <col min="14" max="14" width="20" customWidth="1"/>
    <col min="17" max="19" width="10" customWidth="1"/>
    <col min="20" max="20" width="12" customWidth="1"/>
    <col min="21" max="21" width="11" customWidth="1"/>
  </cols>
  <sheetData>
    <row r="1" spans="1:21" ht="28.05" customHeight="1" x14ac:dyDescent="0.3">
      <c r="A1" s="70" t="s">
        <v>256</v>
      </c>
      <c r="B1" s="70"/>
      <c r="C1" s="70"/>
      <c r="D1" s="70"/>
      <c r="E1" s="70"/>
      <c r="F1" s="70"/>
      <c r="G1" s="70"/>
      <c r="H1" s="70"/>
    </row>
    <row r="2" spans="1:21" x14ac:dyDescent="0.3">
      <c r="A2" s="71" t="s">
        <v>257</v>
      </c>
      <c r="B2" s="71"/>
      <c r="C2" s="71"/>
      <c r="D2" s="71"/>
      <c r="E2" s="71"/>
      <c r="F2" s="71"/>
      <c r="G2" s="71"/>
      <c r="H2" s="71"/>
    </row>
    <row r="4" spans="1:21" x14ac:dyDescent="0.3">
      <c r="A4" s="76" t="s">
        <v>237</v>
      </c>
      <c r="B4" s="76" t="s">
        <v>238</v>
      </c>
      <c r="C4" s="76" t="s">
        <v>239</v>
      </c>
      <c r="D4" s="76" t="s">
        <v>240</v>
      </c>
      <c r="E4" s="76"/>
      <c r="F4" s="76"/>
      <c r="G4" s="76"/>
      <c r="H4" s="76" t="s">
        <v>241</v>
      </c>
      <c r="I4" s="76"/>
      <c r="J4" s="76"/>
      <c r="K4" s="76" t="s">
        <v>242</v>
      </c>
      <c r="L4" s="76"/>
      <c r="M4" s="76"/>
      <c r="N4" s="76" t="s">
        <v>243</v>
      </c>
      <c r="O4" s="76"/>
      <c r="P4" s="76"/>
      <c r="Q4" s="76" t="s">
        <v>244</v>
      </c>
      <c r="R4" s="76"/>
      <c r="S4" s="76" t="s">
        <v>245</v>
      </c>
      <c r="T4" s="76" t="s">
        <v>246</v>
      </c>
      <c r="U4" s="76"/>
    </row>
    <row r="5" spans="1:21" ht="27.6" x14ac:dyDescent="0.3">
      <c r="A5" s="76"/>
      <c r="B5" s="76"/>
      <c r="C5" s="76"/>
      <c r="D5" s="19" t="s">
        <v>247</v>
      </c>
      <c r="E5" s="19" t="s">
        <v>248</v>
      </c>
      <c r="F5" s="19" t="s">
        <v>249</v>
      </c>
      <c r="G5" s="19" t="s">
        <v>250</v>
      </c>
      <c r="H5" s="19" t="s">
        <v>247</v>
      </c>
      <c r="I5" s="19" t="s">
        <v>248</v>
      </c>
      <c r="J5" s="19" t="s">
        <v>249</v>
      </c>
      <c r="K5" s="19" t="s">
        <v>247</v>
      </c>
      <c r="L5" s="19" t="s">
        <v>248</v>
      </c>
      <c r="M5" s="19" t="s">
        <v>249</v>
      </c>
      <c r="N5" s="19" t="s">
        <v>247</v>
      </c>
      <c r="O5" s="19" t="s">
        <v>248</v>
      </c>
      <c r="P5" s="19" t="s">
        <v>249</v>
      </c>
      <c r="Q5" s="19" t="s">
        <v>230</v>
      </c>
      <c r="R5" s="19" t="s">
        <v>251</v>
      </c>
      <c r="S5" s="76"/>
      <c r="T5" s="19" t="s">
        <v>252</v>
      </c>
      <c r="U5" s="19" t="s">
        <v>253</v>
      </c>
    </row>
    <row r="6" spans="1:21" x14ac:dyDescent="0.3">
      <c r="A6" s="10" t="s">
        <v>254</v>
      </c>
      <c r="B6" s="10">
        <v>2025</v>
      </c>
      <c r="C6" s="34">
        <v>50</v>
      </c>
      <c r="D6" s="10"/>
      <c r="E6" s="35">
        <v>0</v>
      </c>
      <c r="F6" s="36" t="str">
        <f>IFERROR(VLOOKUP(D6,'Fertilizer Library'!$A:$B,2,FALSE),"")</f>
        <v/>
      </c>
      <c r="G6" s="10">
        <v>10</v>
      </c>
      <c r="H6" s="10" t="s">
        <v>197</v>
      </c>
      <c r="I6" s="35">
        <v>30</v>
      </c>
      <c r="J6" s="36">
        <f>IFERROR(VLOOKUP(H6,'Fertilizer Library'!$A:$B,2,FALSE),"")</f>
        <v>0.32</v>
      </c>
      <c r="K6" s="10" t="s">
        <v>204</v>
      </c>
      <c r="L6" s="35">
        <v>20</v>
      </c>
      <c r="M6" s="36">
        <f>IFERROR(VLOOKUP(K6,'Fertilizer Library'!$A:$B,2,FALSE),"")</f>
        <v>0.08</v>
      </c>
      <c r="N6" s="10"/>
      <c r="O6" s="35"/>
      <c r="P6" s="36" t="str">
        <f>IFERROR(VLOOKUP(N6,'Fertilizer Library'!$A:$B,2,FALSE),"")</f>
        <v/>
      </c>
      <c r="Q6" s="37">
        <v>7500</v>
      </c>
      <c r="R6" s="37"/>
      <c r="S6" s="37">
        <v>0</v>
      </c>
      <c r="T6" s="35">
        <v>0</v>
      </c>
      <c r="U6" s="28"/>
    </row>
    <row r="7" spans="1:21" x14ac:dyDescent="0.3">
      <c r="A7" s="10" t="s">
        <v>255</v>
      </c>
      <c r="B7" s="10">
        <v>2025</v>
      </c>
      <c r="C7" s="34">
        <v>30</v>
      </c>
      <c r="D7" s="10" t="s">
        <v>217</v>
      </c>
      <c r="E7" s="35">
        <v>130</v>
      </c>
      <c r="F7" s="36">
        <f>IFERROR(VLOOKUP(D7,'Fertilizer Library'!$A:$B,2,FALSE),"")</f>
        <v>6.0000000000000001E-3</v>
      </c>
      <c r="G7" s="10">
        <v>1</v>
      </c>
      <c r="H7" s="10" t="s">
        <v>201</v>
      </c>
      <c r="I7" s="35">
        <v>22</v>
      </c>
      <c r="J7" s="36">
        <f>IFERROR(VLOOKUP(H7,'Fertilizer Library'!$A:$B,2,FALSE),"")</f>
        <v>0.21</v>
      </c>
      <c r="K7" s="10"/>
      <c r="L7" s="35"/>
      <c r="M7" s="36" t="str">
        <f>IFERROR(VLOOKUP(K7,'Fertilizer Library'!$A:$B,2,FALSE),"")</f>
        <v/>
      </c>
      <c r="N7" s="10"/>
      <c r="O7" s="35"/>
      <c r="P7" s="36" t="str">
        <f>IFERROR(VLOOKUP(N7,'Fertilizer Library'!$A:$B,2,FALSE),"")</f>
        <v/>
      </c>
      <c r="Q7" s="37">
        <v>4600</v>
      </c>
      <c r="R7" s="37"/>
      <c r="S7" s="37">
        <v>0</v>
      </c>
      <c r="T7" s="35">
        <v>2</v>
      </c>
      <c r="U7" s="28">
        <v>0.02</v>
      </c>
    </row>
    <row r="8" spans="1:21" x14ac:dyDescent="0.3">
      <c r="A8" s="13"/>
      <c r="B8" s="13"/>
      <c r="C8" s="13"/>
      <c r="D8" s="13"/>
      <c r="E8" s="13"/>
      <c r="F8" s="36" t="str">
        <f>IFERROR(VLOOKUP(D8,'Fertilizer Library'!$A:$B,2,FALSE),"")</f>
        <v/>
      </c>
      <c r="G8" s="13"/>
      <c r="H8" s="13"/>
      <c r="I8" s="13"/>
      <c r="J8" s="36" t="str">
        <f>IFERROR(VLOOKUP(H8,'Fertilizer Library'!$A:$B,2,FALSE),"")</f>
        <v/>
      </c>
      <c r="K8" s="13"/>
      <c r="L8" s="13"/>
      <c r="M8" s="36" t="str">
        <f>IFERROR(VLOOKUP(K8,'Fertilizer Library'!$A:$B,2,FALSE),"")</f>
        <v/>
      </c>
      <c r="N8" s="13"/>
      <c r="O8" s="13"/>
      <c r="P8" s="36" t="str">
        <f>IFERROR(VLOOKUP(N8,'Fertilizer Library'!$A:$B,2,FALSE),"")</f>
        <v/>
      </c>
      <c r="Q8" s="13"/>
      <c r="R8" s="13"/>
      <c r="S8" s="13"/>
      <c r="T8" s="13"/>
      <c r="U8" s="13"/>
    </row>
    <row r="9" spans="1:21" x14ac:dyDescent="0.3">
      <c r="A9" s="13"/>
      <c r="B9" s="13"/>
      <c r="C9" s="13"/>
      <c r="D9" s="13"/>
      <c r="E9" s="13"/>
      <c r="F9" s="36" t="str">
        <f>IFERROR(VLOOKUP(D9,'Fertilizer Library'!$A:$B,2,FALSE),"")</f>
        <v/>
      </c>
      <c r="G9" s="13"/>
      <c r="H9" s="13"/>
      <c r="I9" s="13"/>
      <c r="J9" s="36" t="str">
        <f>IFERROR(VLOOKUP(H9,'Fertilizer Library'!$A:$B,2,FALSE),"")</f>
        <v/>
      </c>
      <c r="K9" s="13"/>
      <c r="L9" s="13"/>
      <c r="M9" s="36" t="str">
        <f>IFERROR(VLOOKUP(K9,'Fertilizer Library'!$A:$B,2,FALSE),"")</f>
        <v/>
      </c>
      <c r="N9" s="13"/>
      <c r="O9" s="13"/>
      <c r="P9" s="36" t="str">
        <f>IFERROR(VLOOKUP(N9,'Fertilizer Library'!$A:$B,2,FALSE),"")</f>
        <v/>
      </c>
      <c r="Q9" s="13"/>
      <c r="R9" s="13"/>
      <c r="S9" s="13"/>
      <c r="T9" s="13"/>
      <c r="U9" s="13"/>
    </row>
    <row r="10" spans="1:21" x14ac:dyDescent="0.3">
      <c r="A10" s="13"/>
      <c r="B10" s="13"/>
      <c r="C10" s="13"/>
      <c r="D10" s="13"/>
      <c r="E10" s="13"/>
      <c r="F10" s="36" t="str">
        <f>IFERROR(VLOOKUP(D10,'Fertilizer Library'!$A:$B,2,FALSE),"")</f>
        <v/>
      </c>
      <c r="G10" s="13"/>
      <c r="H10" s="13"/>
      <c r="I10" s="13"/>
      <c r="J10" s="36" t="str">
        <f>IFERROR(VLOOKUP(H10,'Fertilizer Library'!$A:$B,2,FALSE),"")</f>
        <v/>
      </c>
      <c r="K10" s="13"/>
      <c r="L10" s="13"/>
      <c r="M10" s="36" t="str">
        <f>IFERROR(VLOOKUP(K10,'Fertilizer Library'!$A:$B,2,FALSE),"")</f>
        <v/>
      </c>
      <c r="N10" s="13"/>
      <c r="O10" s="13"/>
      <c r="P10" s="36" t="str">
        <f>IFERROR(VLOOKUP(N10,'Fertilizer Library'!$A:$B,2,FALSE),"")</f>
        <v/>
      </c>
      <c r="Q10" s="13"/>
      <c r="R10" s="13"/>
      <c r="S10" s="13"/>
      <c r="T10" s="13"/>
      <c r="U10" s="13"/>
    </row>
    <row r="11" spans="1:21" x14ac:dyDescent="0.3">
      <c r="A11" s="13"/>
      <c r="B11" s="13"/>
      <c r="C11" s="13"/>
      <c r="D11" s="13"/>
      <c r="E11" s="13"/>
      <c r="F11" s="36" t="str">
        <f>IFERROR(VLOOKUP(D11,'Fertilizer Library'!$A:$B,2,FALSE),"")</f>
        <v/>
      </c>
      <c r="G11" s="13"/>
      <c r="H11" s="13"/>
      <c r="I11" s="13"/>
      <c r="J11" s="36" t="str">
        <f>IFERROR(VLOOKUP(H11,'Fertilizer Library'!$A:$B,2,FALSE),"")</f>
        <v/>
      </c>
      <c r="K11" s="13"/>
      <c r="L11" s="13"/>
      <c r="M11" s="36" t="str">
        <f>IFERROR(VLOOKUP(K11,'Fertilizer Library'!$A:$B,2,FALSE),"")</f>
        <v/>
      </c>
      <c r="N11" s="13"/>
      <c r="O11" s="13"/>
      <c r="P11" s="36" t="str">
        <f>IFERROR(VLOOKUP(N11,'Fertilizer Library'!$A:$B,2,FALSE),"")</f>
        <v/>
      </c>
      <c r="Q11" s="13"/>
      <c r="R11" s="13"/>
      <c r="S11" s="13"/>
      <c r="T11" s="13"/>
      <c r="U11" s="13"/>
    </row>
  </sheetData>
  <mergeCells count="12">
    <mergeCell ref="N4:P4"/>
    <mergeCell ref="Q4:R4"/>
    <mergeCell ref="T4:U4"/>
    <mergeCell ref="A4:A5"/>
    <mergeCell ref="B4:B5"/>
    <mergeCell ref="C4:C5"/>
    <mergeCell ref="S4:S5"/>
    <mergeCell ref="A1:H1"/>
    <mergeCell ref="A2:H2"/>
    <mergeCell ref="D4:G4"/>
    <mergeCell ref="H4:J4"/>
    <mergeCell ref="K4:M4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3"/>
  <sheetViews>
    <sheetView showGridLines="0" workbookViewId="0">
      <pane ySplit="4" topLeftCell="A5" activePane="bottomLeft" state="frozen"/>
      <selection pane="bottomLeft" sqref="A1:H1"/>
    </sheetView>
  </sheetViews>
  <sheetFormatPr defaultRowHeight="14.4" x14ac:dyDescent="0.3"/>
  <cols>
    <col min="1" max="1" width="14" customWidth="1"/>
    <col min="2" max="2" width="7" customWidth="1"/>
    <col min="3" max="3" width="8" customWidth="1"/>
    <col min="6" max="6" width="12" customWidth="1"/>
    <col min="7" max="8" width="11" customWidth="1"/>
    <col min="9" max="9" width="12" customWidth="1"/>
    <col min="10" max="13" width="11" customWidth="1"/>
    <col min="14" max="15" width="12" customWidth="1"/>
  </cols>
  <sheetData>
    <row r="1" spans="1:15" ht="28.05" customHeight="1" x14ac:dyDescent="0.3">
      <c r="A1" s="70" t="s">
        <v>258</v>
      </c>
      <c r="B1" s="70"/>
      <c r="C1" s="70"/>
      <c r="D1" s="70"/>
      <c r="E1" s="70"/>
      <c r="F1" s="70"/>
      <c r="G1" s="70"/>
      <c r="H1" s="70"/>
    </row>
    <row r="2" spans="1:15" x14ac:dyDescent="0.3">
      <c r="A2" s="77" t="str">
        <f>"▶ Soil N₂O approach = "&amp;'Fixed Parameters'!$B$7&amp;IF('Fixed Parameters'!$B$7="QA3"," → soil N₂O (fertilizer + N-fixing) IS COUNTED on this sheet (QA3 default-factor)."," → soil N₂O is EXCLUDED here and taken from the QA1 model (SOC Removals sheet) — no double-counting.")</f>
        <v>▶ Soil N₂O approach = QA3 → soil N₂O (fertilizer + N-fixing) IS COUNTED on this sheet (QA3 default-factor).</v>
      </c>
      <c r="B2" s="77"/>
      <c r="C2" s="77"/>
      <c r="D2" s="77"/>
      <c r="E2" s="77"/>
      <c r="F2" s="77"/>
      <c r="G2" s="77"/>
      <c r="H2" s="77"/>
    </row>
    <row r="3" spans="1:15" ht="27.6" x14ac:dyDescent="0.3">
      <c r="A3" s="19" t="s">
        <v>237</v>
      </c>
      <c r="B3" s="19" t="s">
        <v>238</v>
      </c>
      <c r="C3" s="19" t="s">
        <v>239</v>
      </c>
      <c r="D3" s="19" t="s">
        <v>259</v>
      </c>
      <c r="E3" s="19" t="s">
        <v>260</v>
      </c>
      <c r="F3" s="19" t="s">
        <v>261</v>
      </c>
      <c r="G3" s="19" t="s">
        <v>262</v>
      </c>
      <c r="H3" s="19" t="s">
        <v>263</v>
      </c>
      <c r="I3" s="19" t="s">
        <v>264</v>
      </c>
      <c r="J3" s="19" t="s">
        <v>265</v>
      </c>
      <c r="K3" s="19" t="s">
        <v>266</v>
      </c>
      <c r="L3" s="19" t="s">
        <v>267</v>
      </c>
      <c r="M3" s="19" t="s">
        <v>268</v>
      </c>
      <c r="N3" s="19" t="s">
        <v>269</v>
      </c>
      <c r="O3" s="19" t="s">
        <v>270</v>
      </c>
    </row>
    <row r="4" spans="1:15" x14ac:dyDescent="0.3">
      <c r="A4" s="14" t="str">
        <f>IF('Baseline Inputs'!A6="","",'Baseline Inputs'!A6)</f>
        <v>Farm_A</v>
      </c>
      <c r="B4" s="14">
        <f>'Baseline Inputs'!B6</f>
        <v>2022</v>
      </c>
      <c r="C4" s="14">
        <f>IF('Baseline Inputs'!A6="","",'Baseline Inputs'!C6)</f>
        <v>50</v>
      </c>
      <c r="D4" s="38">
        <f>IF(OR('Baseline Inputs'!A6="",N('Baseline Inputs'!C6)=0),"",(N('Baseline Inputs'!I6)*N('Baseline Inputs'!J6)+N('Baseline Inputs'!L6)*N('Baseline Inputs'!M6)+N('Baseline Inputs'!O6)*N('Baseline Inputs'!P6)))</f>
        <v>14.8</v>
      </c>
      <c r="E4" s="38">
        <f>IF(OR('Baseline Inputs'!A6="",N('Baseline Inputs'!C6)=0),"",(N('Baseline Inputs'!E6)/IF(N('Baseline Inputs'!G6)=0,1,N('Baseline Inputs'!G6))*N('Baseline Inputs'!F6)))</f>
        <v>0.75</v>
      </c>
      <c r="F4" s="39">
        <f>IF(OR('Baseline Inputs'!A6="",N('Baseline Inputs'!C6)=0),"",((D4+E4)*'Fixed Parameters'!$B$16*(44/28)*'Fixed Parameters'!$B$11)/C4)</f>
        <v>1.683620714285714</v>
      </c>
      <c r="G4" s="39">
        <f>IF(OR('Baseline Inputs'!A6="",N('Baseline Inputs'!C6)=0),"",((D4*'Fixed Parameters'!$B$17)+(E4*'Fixed Parameters'!$B$18))*'Fixed Parameters'!$B$19*(44/28)*'Fixed Parameters'!$B$11)</f>
        <v>10.409465000000001</v>
      </c>
      <c r="H4" s="39">
        <f>IF(OR('Baseline Inputs'!A6="",N('Baseline Inputs'!C6)=0),"",(D4+E4)*'Fixed Parameters'!$B$21*'Fixed Parameters'!$B$22*(44/28)*'Fixed Parameters'!$B$11)</f>
        <v>17.095225714285714</v>
      </c>
      <c r="I4" s="39">
        <f>IF(OR('Baseline Inputs'!A6="",N('Baseline Inputs'!C6)=0),"",(G4+H4)/C4)</f>
        <v>0.55009381428571436</v>
      </c>
      <c r="J4" s="39">
        <f>IF(OR('Baseline Inputs'!A6="",N('Baseline Inputs'!C6)=0),"",F4+I4)</f>
        <v>2.2337145285714284</v>
      </c>
      <c r="K4" s="39">
        <f>IF(OR('Baseline Inputs'!A6="",N('Baseline Inputs'!C6)=0),"",(N('Baseline Inputs'!Q6)*'Fixed Parameters'!$B$9+N('Baseline Inputs'!R6)*'Fixed Parameters'!$B$10)/C4)</f>
        <v>0.51948000000000005</v>
      </c>
      <c r="L4" s="39">
        <f>IF(OR('Baseline Inputs'!A6="",N('Baseline Inputs'!C6)=0),"",('Fixed Parameters'!$B$11*N('Baseline Inputs'!S6)*'Fixed Parameters'!$B$23*'Fixed Parameters'!$B$24)/1000000/C4)</f>
        <v>0</v>
      </c>
      <c r="M4" s="39">
        <f>IF(OR('Baseline Inputs'!A6="",N('Baseline Inputs'!C6)=0),"",(N('Baseline Inputs'!T6)*N('Baseline Inputs'!U6)*'Fixed Parameters'!$B$16*(44/28)*'Fixed Parameters'!$B$11)/C4)</f>
        <v>0</v>
      </c>
      <c r="N4" s="40">
        <f>IF(OR('Baseline Inputs'!A6="",N('Baseline Inputs'!C6)=0),"",K4+L4+IF('Fixed Parameters'!$B$7="QA3",J4+M4,0))</f>
        <v>2.7531945285714285</v>
      </c>
      <c r="O4" s="40">
        <f>IF(OR('Baseline Inputs'!A6="",N('Baseline Inputs'!C6)=0),"",N4*C4)</f>
        <v>137.65972642857142</v>
      </c>
    </row>
    <row r="5" spans="1:15" x14ac:dyDescent="0.3">
      <c r="A5" s="14" t="str">
        <f>IF('Baseline Inputs'!A7="","",'Baseline Inputs'!A7)</f>
        <v>Farm_A</v>
      </c>
      <c r="B5" s="14">
        <f>'Baseline Inputs'!B7</f>
        <v>2023</v>
      </c>
      <c r="C5" s="14">
        <f>IF('Baseline Inputs'!A7="","",'Baseline Inputs'!C7)</f>
        <v>50</v>
      </c>
      <c r="D5" s="38">
        <f>IF(OR('Baseline Inputs'!A7="",N('Baseline Inputs'!C7)=0),"",(N('Baseline Inputs'!I7)*N('Baseline Inputs'!J7)+N('Baseline Inputs'!L7)*N('Baseline Inputs'!M7)+N('Baseline Inputs'!O7)*N('Baseline Inputs'!P7)))</f>
        <v>15.68</v>
      </c>
      <c r="E5" s="38">
        <f>IF(OR('Baseline Inputs'!A7="",N('Baseline Inputs'!C7)=0),"",(N('Baseline Inputs'!E7)/IF(N('Baseline Inputs'!G7)=0,1,N('Baseline Inputs'!G7))*N('Baseline Inputs'!F7)))</f>
        <v>0</v>
      </c>
      <c r="F5" s="39">
        <f>IF(OR('Baseline Inputs'!A7="",N('Baseline Inputs'!C7)=0),"",((D5+E5)*'Fixed Parameters'!$B$16*(44/28)*'Fixed Parameters'!$B$11)/C5)</f>
        <v>1.6976959999999999</v>
      </c>
      <c r="G5" s="39">
        <f>IF(OR('Baseline Inputs'!A7="",N('Baseline Inputs'!C7)=0),"",((D5*'Fixed Parameters'!$B$17)+(E5*'Fixed Parameters'!$B$18))*'Fixed Parameters'!$B$19*(44/28)*'Fixed Parameters'!$B$11)</f>
        <v>10.055584000000001</v>
      </c>
      <c r="H5" s="39">
        <f>IF(OR('Baseline Inputs'!A7="",N('Baseline Inputs'!C7)=0),"",(D5+E5)*'Fixed Parameters'!$B$21*'Fixed Parameters'!$B$22*(44/28)*'Fixed Parameters'!$B$11)</f>
        <v>17.238143999999995</v>
      </c>
      <c r="I5" s="39">
        <f>IF(OR('Baseline Inputs'!A7="",N('Baseline Inputs'!C7)=0),"",(G5+H5)/C5)</f>
        <v>0.5458745599999999</v>
      </c>
      <c r="J5" s="39">
        <f>IF(OR('Baseline Inputs'!A7="",N('Baseline Inputs'!C7)=0),"",F5+I5)</f>
        <v>2.2435705599999998</v>
      </c>
      <c r="K5" s="39">
        <f>IF(OR('Baseline Inputs'!A7="",N('Baseline Inputs'!C7)=0),"",(N('Baseline Inputs'!Q7)*'Fixed Parameters'!$B$9+N('Baseline Inputs'!R7)*'Fixed Parameters'!$B$10)/C5)</f>
        <v>0.53102400000000005</v>
      </c>
      <c r="L5" s="39">
        <f>IF(OR('Baseline Inputs'!A7="",N('Baseline Inputs'!C7)=0),"",('Fixed Parameters'!$B$11*N('Baseline Inputs'!S7)*'Fixed Parameters'!$B$23*'Fixed Parameters'!$B$24)/1000000/C5)</f>
        <v>0</v>
      </c>
      <c r="M5" s="39">
        <f>IF(OR('Baseline Inputs'!A7="",N('Baseline Inputs'!C7)=0),"",(N('Baseline Inputs'!T7)*N('Baseline Inputs'!U7)*'Fixed Parameters'!$B$16*(44/28)*'Fixed Parameters'!$B$11)/C5)</f>
        <v>0</v>
      </c>
      <c r="N5" s="40">
        <f>IF(OR('Baseline Inputs'!A7="",N('Baseline Inputs'!C7)=0),"",K5+L5+IF('Fixed Parameters'!$B$7="QA3",J5+M5,0))</f>
        <v>2.7745945599999997</v>
      </c>
      <c r="O5" s="40">
        <f>IF(OR('Baseline Inputs'!A7="",N('Baseline Inputs'!C7)=0),"",N5*C5)</f>
        <v>138.72972799999999</v>
      </c>
    </row>
    <row r="6" spans="1:15" x14ac:dyDescent="0.3">
      <c r="A6" s="14" t="str">
        <f>IF('Baseline Inputs'!A8="","",'Baseline Inputs'!A8)</f>
        <v>Farm_A</v>
      </c>
      <c r="B6" s="14">
        <f>'Baseline Inputs'!B8</f>
        <v>2024</v>
      </c>
      <c r="C6" s="14">
        <f>IF('Baseline Inputs'!A8="","",'Baseline Inputs'!C8)</f>
        <v>50</v>
      </c>
      <c r="D6" s="38">
        <f>IF(OR('Baseline Inputs'!A8="",N('Baseline Inputs'!C8)=0),"",(N('Baseline Inputs'!I8)*N('Baseline Inputs'!J8)+N('Baseline Inputs'!L8)*N('Baseline Inputs'!M8)+N('Baseline Inputs'!O8)*N('Baseline Inputs'!P8)))</f>
        <v>14.14</v>
      </c>
      <c r="E6" s="38">
        <f>IF(OR('Baseline Inputs'!A8="",N('Baseline Inputs'!C8)=0),"",(N('Baseline Inputs'!E8)/IF(N('Baseline Inputs'!G8)=0,1,N('Baseline Inputs'!G8))*N('Baseline Inputs'!F8)))</f>
        <v>0</v>
      </c>
      <c r="F6" s="39">
        <f>IF(OR('Baseline Inputs'!A8="",N('Baseline Inputs'!C8)=0),"",((D6+E6)*'Fixed Parameters'!$B$16*(44/28)*'Fixed Parameters'!$B$11)/C6)</f>
        <v>1.530958</v>
      </c>
      <c r="G6" s="39">
        <f>IF(OR('Baseline Inputs'!A8="",N('Baseline Inputs'!C8)=0),"",((D6*'Fixed Parameters'!$B$17)+(E6*'Fixed Parameters'!$B$18))*'Fixed Parameters'!$B$19*(44/28)*'Fixed Parameters'!$B$11)</f>
        <v>9.0679820000000007</v>
      </c>
      <c r="H6" s="39">
        <f>IF(OR('Baseline Inputs'!A8="",N('Baseline Inputs'!C8)=0),"",(D6+E6)*'Fixed Parameters'!$B$21*'Fixed Parameters'!$B$22*(44/28)*'Fixed Parameters'!$B$11)</f>
        <v>15.545111999999998</v>
      </c>
      <c r="I6" s="39">
        <f>IF(OR('Baseline Inputs'!A8="",N('Baseline Inputs'!C8)=0),"",(G6+H6)/C6)</f>
        <v>0.49226187999999993</v>
      </c>
      <c r="J6" s="39">
        <f>IF(OR('Baseline Inputs'!A8="",N('Baseline Inputs'!C8)=0),"",F6+I6)</f>
        <v>2.0232198800000001</v>
      </c>
      <c r="K6" s="39">
        <f>IF(OR('Baseline Inputs'!A8="",N('Baseline Inputs'!C8)=0),"",(N('Baseline Inputs'!Q8)*'Fixed Parameters'!$B$9+N('Baseline Inputs'!R8)*'Fixed Parameters'!$B$10)/C6)</f>
        <v>0.50793600000000005</v>
      </c>
      <c r="L6" s="39">
        <f>IF(OR('Baseline Inputs'!A8="",N('Baseline Inputs'!C8)=0),"",('Fixed Parameters'!$B$11*N('Baseline Inputs'!S8)*'Fixed Parameters'!$B$23*'Fixed Parameters'!$B$24)/1000000/C6)</f>
        <v>0</v>
      </c>
      <c r="M6" s="39">
        <f>IF(OR('Baseline Inputs'!A8="",N('Baseline Inputs'!C8)=0),"",(N('Baseline Inputs'!T8)*N('Baseline Inputs'!U8)*'Fixed Parameters'!$B$16*(44/28)*'Fixed Parameters'!$B$11)/C6)</f>
        <v>0</v>
      </c>
      <c r="N6" s="40">
        <f>IF(OR('Baseline Inputs'!A8="",N('Baseline Inputs'!C8)=0),"",K6+L6+IF('Fixed Parameters'!$B$7="QA3",J6+M6,0))</f>
        <v>2.53115588</v>
      </c>
      <c r="O6" s="40">
        <f>IF(OR('Baseline Inputs'!A8="",N('Baseline Inputs'!C8)=0),"",N6*C6)</f>
        <v>126.557794</v>
      </c>
    </row>
    <row r="7" spans="1:15" x14ac:dyDescent="0.3">
      <c r="A7" s="14" t="str">
        <f>IF('Baseline Inputs'!A9="","",'Baseline Inputs'!A9)</f>
        <v>Farm_B</v>
      </c>
      <c r="B7" s="14">
        <f>'Baseline Inputs'!B9</f>
        <v>2022</v>
      </c>
      <c r="C7" s="14">
        <f>IF('Baseline Inputs'!A9="","",'Baseline Inputs'!C9)</f>
        <v>30</v>
      </c>
      <c r="D7" s="38">
        <f>IF(OR('Baseline Inputs'!A9="",N('Baseline Inputs'!C9)=0),"",(N('Baseline Inputs'!I9)*N('Baseline Inputs'!J9)+N('Baseline Inputs'!L9)*N('Baseline Inputs'!M9)+N('Baseline Inputs'!O9)*N('Baseline Inputs'!P9)))</f>
        <v>6.3</v>
      </c>
      <c r="E7" s="38">
        <f>IF(OR('Baseline Inputs'!A9="",N('Baseline Inputs'!C9)=0),"",(N('Baseline Inputs'!E9)/IF(N('Baseline Inputs'!G9)=0,1,N('Baseline Inputs'!G9))*N('Baseline Inputs'!F9)))</f>
        <v>0.72</v>
      </c>
      <c r="F7" s="39">
        <f>IF(OR('Baseline Inputs'!A9="",N('Baseline Inputs'!C9)=0),"",((D7+E7)*'Fixed Parameters'!$B$16*(44/28)*'Fixed Parameters'!$B$11)/C7)</f>
        <v>1.2667757142857141</v>
      </c>
      <c r="G7" s="39">
        <f>IF(OR('Baseline Inputs'!A9="",N('Baseline Inputs'!C9)=0),"",((D7*'Fixed Parameters'!$B$17)+(E7*'Fixed Parameters'!$B$18))*'Fixed Parameters'!$B$19*(44/28)*'Fixed Parameters'!$B$11)</f>
        <v>4.9216860000000002</v>
      </c>
      <c r="H7" s="39">
        <f>IF(OR('Baseline Inputs'!A9="",N('Baseline Inputs'!C9)=0),"",(D7+E7)*'Fixed Parameters'!$B$21*'Fixed Parameters'!$B$22*(44/28)*'Fixed Parameters'!$B$11)</f>
        <v>7.7175874285714281</v>
      </c>
      <c r="I7" s="39">
        <f>IF(OR('Baseline Inputs'!A9="",N('Baseline Inputs'!C9)=0),"",(G7+H7)/C7)</f>
        <v>0.42130911428571427</v>
      </c>
      <c r="J7" s="39">
        <f>IF(OR('Baseline Inputs'!A9="",N('Baseline Inputs'!C9)=0),"",F7+I7)</f>
        <v>1.6880848285714283</v>
      </c>
      <c r="K7" s="39">
        <f>IF(OR('Baseline Inputs'!A9="",N('Baseline Inputs'!C9)=0),"",(N('Baseline Inputs'!Q9)*'Fixed Parameters'!$B$9+N('Baseline Inputs'!R9)*'Fixed Parameters'!$B$10)/C7)</f>
        <v>0.51948000000000005</v>
      </c>
      <c r="L7" s="39">
        <f>IF(OR('Baseline Inputs'!A9="",N('Baseline Inputs'!C9)=0),"",('Fixed Parameters'!$B$11*N('Baseline Inputs'!S9)*'Fixed Parameters'!$B$23*'Fixed Parameters'!$B$24)/1000000/C7)</f>
        <v>4.6375000000000002E-4</v>
      </c>
      <c r="M7" s="39">
        <f>IF(OR('Baseline Inputs'!A9="",N('Baseline Inputs'!C9)=0),"",(N('Baseline Inputs'!T9)*N('Baseline Inputs'!U9)*'Fixed Parameters'!$B$16*(44/28)*'Fixed Parameters'!$B$11)/C7)</f>
        <v>7.218095238095237E-3</v>
      </c>
      <c r="N7" s="40">
        <f>IF(OR('Baseline Inputs'!A9="",N('Baseline Inputs'!C9)=0),"",K7+L7+IF('Fixed Parameters'!$B$7="QA3",J7+M7,0))</f>
        <v>2.2152466738095233</v>
      </c>
      <c r="O7" s="40">
        <f>IF(OR('Baseline Inputs'!A9="",N('Baseline Inputs'!C9)=0),"",N7*C7)</f>
        <v>66.457400214285698</v>
      </c>
    </row>
    <row r="8" spans="1:15" x14ac:dyDescent="0.3">
      <c r="A8" s="14" t="str">
        <f>IF('Baseline Inputs'!A10="","",'Baseline Inputs'!A10)</f>
        <v>Farm_B</v>
      </c>
      <c r="B8" s="14">
        <f>'Baseline Inputs'!B10</f>
        <v>2023</v>
      </c>
      <c r="C8" s="14">
        <f>IF('Baseline Inputs'!A10="","",'Baseline Inputs'!C10)</f>
        <v>30</v>
      </c>
      <c r="D8" s="38">
        <f>IF(OR('Baseline Inputs'!A10="",N('Baseline Inputs'!C10)=0),"",(N('Baseline Inputs'!I10)*N('Baseline Inputs'!J10)+N('Baseline Inputs'!L10)*N('Baseline Inputs'!M10)+N('Baseline Inputs'!O10)*N('Baseline Inputs'!P10)))</f>
        <v>6.72</v>
      </c>
      <c r="E8" s="38">
        <f>IF(OR('Baseline Inputs'!A10="",N('Baseline Inputs'!C10)=0),"",(N('Baseline Inputs'!E10)/IF(N('Baseline Inputs'!G10)=0,1,N('Baseline Inputs'!G10))*N('Baseline Inputs'!F10)))</f>
        <v>0.66</v>
      </c>
      <c r="F8" s="39">
        <f>IF(OR('Baseline Inputs'!A10="",N('Baseline Inputs'!C10)=0),"",((D8+E8)*'Fixed Parameters'!$B$16*(44/28)*'Fixed Parameters'!$B$11)/C8)</f>
        <v>1.3317385714285714</v>
      </c>
      <c r="G8" s="39">
        <f>IF(OR('Baseline Inputs'!A10="",N('Baseline Inputs'!C10)=0),"",((D8*'Fixed Parameters'!$B$17)+(E8*'Fixed Parameters'!$B$18))*'Fixed Parameters'!$B$19*(44/28)*'Fixed Parameters'!$B$11)</f>
        <v>5.1175739999999994</v>
      </c>
      <c r="H8" s="39">
        <f>IF(OR('Baseline Inputs'!A10="",N('Baseline Inputs'!C10)=0),"",(D8+E8)*'Fixed Parameters'!$B$21*'Fixed Parameters'!$B$22*(44/28)*'Fixed Parameters'!$B$11)</f>
        <v>8.1133611428571424</v>
      </c>
      <c r="I8" s="39">
        <f>IF(OR('Baseline Inputs'!A10="",N('Baseline Inputs'!C10)=0),"",(G8+H8)/C8)</f>
        <v>0.4410311714285714</v>
      </c>
      <c r="J8" s="39">
        <f>IF(OR('Baseline Inputs'!A10="",N('Baseline Inputs'!C10)=0),"",F8+I8)</f>
        <v>1.7727697428571427</v>
      </c>
      <c r="K8" s="39">
        <f>IF(OR('Baseline Inputs'!A10="",N('Baseline Inputs'!C10)=0),"",(N('Baseline Inputs'!Q10)*'Fixed Parameters'!$B$9+N('Baseline Inputs'!R10)*'Fixed Parameters'!$B$10)/C8)</f>
        <v>0.53871999999999998</v>
      </c>
      <c r="L8" s="39">
        <f>IF(OR('Baseline Inputs'!A10="",N('Baseline Inputs'!C10)=0),"",('Fixed Parameters'!$B$11*N('Baseline Inputs'!S10)*'Fixed Parameters'!$B$23*'Fixed Parameters'!$B$24)/1000000/C8)</f>
        <v>4.3283333333333341E-4</v>
      </c>
      <c r="M8" s="39">
        <f>IF(OR('Baseline Inputs'!A10="",N('Baseline Inputs'!C10)=0),"",(N('Baseline Inputs'!T10)*N('Baseline Inputs'!U10)*'Fixed Parameters'!$B$16*(44/28)*'Fixed Parameters'!$B$11)/C8)</f>
        <v>7.9399047619047626E-3</v>
      </c>
      <c r="N8" s="40">
        <f>IF(OR('Baseline Inputs'!A10="",N('Baseline Inputs'!C10)=0),"",K8+L8+IF('Fixed Parameters'!$B$7="QA3",J8+M8,0))</f>
        <v>2.3198624809523807</v>
      </c>
      <c r="O8" s="40">
        <f>IF(OR('Baseline Inputs'!A10="",N('Baseline Inputs'!C10)=0),"",N8*C8)</f>
        <v>69.59587442857142</v>
      </c>
    </row>
    <row r="9" spans="1:15" x14ac:dyDescent="0.3">
      <c r="A9" s="14" t="str">
        <f>IF('Baseline Inputs'!A11="","",'Baseline Inputs'!A11)</f>
        <v>Farm_B</v>
      </c>
      <c r="B9" s="14">
        <f>'Baseline Inputs'!B11</f>
        <v>2024</v>
      </c>
      <c r="C9" s="14">
        <f>IF('Baseline Inputs'!A11="","",'Baseline Inputs'!C11)</f>
        <v>30</v>
      </c>
      <c r="D9" s="38">
        <f>IF(OR('Baseline Inputs'!A11="",N('Baseline Inputs'!C11)=0),"",(N('Baseline Inputs'!I11)*N('Baseline Inputs'!J11)+N('Baseline Inputs'!L11)*N('Baseline Inputs'!M11)+N('Baseline Inputs'!O11)*N('Baseline Inputs'!P11)))</f>
        <v>5.88</v>
      </c>
      <c r="E9" s="38">
        <f>IF(OR('Baseline Inputs'!A11="",N('Baseline Inputs'!C11)=0),"",(N('Baseline Inputs'!E11)/IF(N('Baseline Inputs'!G11)=0,1,N('Baseline Inputs'!G11))*N('Baseline Inputs'!F11)))</f>
        <v>0.78</v>
      </c>
      <c r="F9" s="39">
        <f>IF(OR('Baseline Inputs'!A11="",N('Baseline Inputs'!C11)=0),"",((D9+E9)*'Fixed Parameters'!$B$16*(44/28)*'Fixed Parameters'!$B$11)/C9)</f>
        <v>1.2018128571428572</v>
      </c>
      <c r="G9" s="39">
        <f>IF(OR('Baseline Inputs'!A11="",N('Baseline Inputs'!C11)=0),"",((D9*'Fixed Parameters'!$B$17)+(E9*'Fixed Parameters'!$B$18))*'Fixed Parameters'!$B$19*(44/28)*'Fixed Parameters'!$B$11)</f>
        <v>4.7257980000000002</v>
      </c>
      <c r="H9" s="39">
        <f>IF(OR('Baseline Inputs'!A11="",N('Baseline Inputs'!C11)=0),"",(D9+E9)*'Fixed Parameters'!$B$21*'Fixed Parameters'!$B$22*(44/28)*'Fixed Parameters'!$B$11)</f>
        <v>7.3218137142857129</v>
      </c>
      <c r="I9" s="39">
        <f>IF(OR('Baseline Inputs'!A11="",N('Baseline Inputs'!C11)=0),"",(G9+H9)/C9)</f>
        <v>0.40158705714285708</v>
      </c>
      <c r="J9" s="39">
        <f>IF(OR('Baseline Inputs'!A11="",N('Baseline Inputs'!C11)=0),"",F9+I9)</f>
        <v>1.6033999142857143</v>
      </c>
      <c r="K9" s="39">
        <f>IF(OR('Baseline Inputs'!A11="",N('Baseline Inputs'!C11)=0),"",(N('Baseline Inputs'!Q11)*'Fixed Parameters'!$B$9+N('Baseline Inputs'!R11)*'Fixed Parameters'!$B$10)/C9)</f>
        <v>0.50024000000000002</v>
      </c>
      <c r="L9" s="39">
        <f>IF(OR('Baseline Inputs'!A11="",N('Baseline Inputs'!C11)=0),"",('Fixed Parameters'!$B$11*N('Baseline Inputs'!S11)*'Fixed Parameters'!$B$23*'Fixed Parameters'!$B$24)/1000000/C9)</f>
        <v>4.946666666666668E-4</v>
      </c>
      <c r="M9" s="39">
        <f>IF(OR('Baseline Inputs'!A11="",N('Baseline Inputs'!C11)=0),"",(N('Baseline Inputs'!T11)*N('Baseline Inputs'!U11)*'Fixed Parameters'!$B$16*(44/28)*'Fixed Parameters'!$B$11)/C9)</f>
        <v>6.4962857142857149E-3</v>
      </c>
      <c r="N9" s="40">
        <f>IF(OR('Baseline Inputs'!A11="",N('Baseline Inputs'!C11)=0),"",K9+L9+IF('Fixed Parameters'!$B$7="QA3",J9+M9,0))</f>
        <v>2.1106308666666664</v>
      </c>
      <c r="O9" s="40">
        <f>IF(OR('Baseline Inputs'!A11="",N('Baseline Inputs'!C11)=0),"",N9*C9)</f>
        <v>63.31892599999999</v>
      </c>
    </row>
    <row r="10" spans="1:15" x14ac:dyDescent="0.3">
      <c r="A10" s="14" t="str">
        <f>IF('Baseline Inputs'!A12="","",'Baseline Inputs'!A12)</f>
        <v/>
      </c>
      <c r="B10" s="14">
        <f>'Baseline Inputs'!B12</f>
        <v>0</v>
      </c>
      <c r="C10" s="14" t="str">
        <f>IF('Baseline Inputs'!A12="","",'Baseline Inputs'!C12)</f>
        <v/>
      </c>
      <c r="D10" s="38" t="str">
        <f>IF(OR('Baseline Inputs'!A12="",N('Baseline Inputs'!C12)=0),"",(N('Baseline Inputs'!I12)*N('Baseline Inputs'!J12)+N('Baseline Inputs'!L12)*N('Baseline Inputs'!M12)+N('Baseline Inputs'!O12)*N('Baseline Inputs'!P12)))</f>
        <v/>
      </c>
      <c r="E10" s="38" t="str">
        <f>IF(OR('Baseline Inputs'!A12="",N('Baseline Inputs'!C12)=0),"",(N('Baseline Inputs'!E12)/IF(N('Baseline Inputs'!G12)=0,1,N('Baseline Inputs'!G12))*N('Baseline Inputs'!F12)))</f>
        <v/>
      </c>
      <c r="F10" s="39" t="str">
        <f>IF(OR('Baseline Inputs'!A12="",N('Baseline Inputs'!C12)=0),"",((D10+E10)*'Fixed Parameters'!$B$16*(44/28)*'Fixed Parameters'!$B$11)/C10)</f>
        <v/>
      </c>
      <c r="G10" s="39" t="str">
        <f>IF(OR('Baseline Inputs'!A12="",N('Baseline Inputs'!C12)=0),"",((D10*'Fixed Parameters'!$B$17)+(E10*'Fixed Parameters'!$B$18))*'Fixed Parameters'!$B$19*(44/28)*'Fixed Parameters'!$B$11)</f>
        <v/>
      </c>
      <c r="H10" s="39" t="str">
        <f>IF(OR('Baseline Inputs'!A12="",N('Baseline Inputs'!C12)=0),"",(D10+E10)*'Fixed Parameters'!$B$21*'Fixed Parameters'!$B$22*(44/28)*'Fixed Parameters'!$B$11)</f>
        <v/>
      </c>
      <c r="I10" s="39" t="str">
        <f>IF(OR('Baseline Inputs'!A12="",N('Baseline Inputs'!C12)=0),"",(G10+H10)/C10)</f>
        <v/>
      </c>
      <c r="J10" s="39" t="str">
        <f>IF(OR('Baseline Inputs'!A12="",N('Baseline Inputs'!C12)=0),"",F10+I10)</f>
        <v/>
      </c>
      <c r="K10" s="39" t="str">
        <f>IF(OR('Baseline Inputs'!A12="",N('Baseline Inputs'!C12)=0),"",(N('Baseline Inputs'!Q12)*'Fixed Parameters'!$B$9+N('Baseline Inputs'!R12)*'Fixed Parameters'!$B$10)/C10)</f>
        <v/>
      </c>
      <c r="L10" s="39" t="str">
        <f>IF(OR('Baseline Inputs'!A12="",N('Baseline Inputs'!C12)=0),"",('Fixed Parameters'!$B$11*N('Baseline Inputs'!S12)*'Fixed Parameters'!$B$23*'Fixed Parameters'!$B$24)/1000000/C10)</f>
        <v/>
      </c>
      <c r="M10" s="39" t="str">
        <f>IF(OR('Baseline Inputs'!A12="",N('Baseline Inputs'!C12)=0),"",(N('Baseline Inputs'!T12)*N('Baseline Inputs'!U12)*'Fixed Parameters'!$B$16*(44/28)*'Fixed Parameters'!$B$11)/C10)</f>
        <v/>
      </c>
      <c r="N10" s="40" t="str">
        <f>IF(OR('Baseline Inputs'!A12="",N('Baseline Inputs'!C12)=0),"",K10+L10+IF('Fixed Parameters'!$B$7="QA3",J10+M10,0))</f>
        <v/>
      </c>
      <c r="O10" s="40" t="str">
        <f>IF(OR('Baseline Inputs'!A12="",N('Baseline Inputs'!C12)=0),"",N10*C10)</f>
        <v/>
      </c>
    </row>
    <row r="11" spans="1:15" x14ac:dyDescent="0.3">
      <c r="A11" s="14" t="str">
        <f>IF('Baseline Inputs'!A13="","",'Baseline Inputs'!A13)</f>
        <v/>
      </c>
      <c r="B11" s="14">
        <f>'Baseline Inputs'!B13</f>
        <v>0</v>
      </c>
      <c r="C11" s="14" t="str">
        <f>IF('Baseline Inputs'!A13="","",'Baseline Inputs'!C13)</f>
        <v/>
      </c>
      <c r="D11" s="38" t="str">
        <f>IF(OR('Baseline Inputs'!A13="",N('Baseline Inputs'!C13)=0),"",(N('Baseline Inputs'!I13)*N('Baseline Inputs'!J13)+N('Baseline Inputs'!L13)*N('Baseline Inputs'!M13)+N('Baseline Inputs'!O13)*N('Baseline Inputs'!P13)))</f>
        <v/>
      </c>
      <c r="E11" s="38" t="str">
        <f>IF(OR('Baseline Inputs'!A13="",N('Baseline Inputs'!C13)=0),"",(N('Baseline Inputs'!E13)/IF(N('Baseline Inputs'!G13)=0,1,N('Baseline Inputs'!G13))*N('Baseline Inputs'!F13)))</f>
        <v/>
      </c>
      <c r="F11" s="39" t="str">
        <f>IF(OR('Baseline Inputs'!A13="",N('Baseline Inputs'!C13)=0),"",((D11+E11)*'Fixed Parameters'!$B$16*(44/28)*'Fixed Parameters'!$B$11)/C11)</f>
        <v/>
      </c>
      <c r="G11" s="39" t="str">
        <f>IF(OR('Baseline Inputs'!A13="",N('Baseline Inputs'!C13)=0),"",((D11*'Fixed Parameters'!$B$17)+(E11*'Fixed Parameters'!$B$18))*'Fixed Parameters'!$B$19*(44/28)*'Fixed Parameters'!$B$11)</f>
        <v/>
      </c>
      <c r="H11" s="39" t="str">
        <f>IF(OR('Baseline Inputs'!A13="",N('Baseline Inputs'!C13)=0),"",(D11+E11)*'Fixed Parameters'!$B$21*'Fixed Parameters'!$B$22*(44/28)*'Fixed Parameters'!$B$11)</f>
        <v/>
      </c>
      <c r="I11" s="39" t="str">
        <f>IF(OR('Baseline Inputs'!A13="",N('Baseline Inputs'!C13)=0),"",(G11+H11)/C11)</f>
        <v/>
      </c>
      <c r="J11" s="39" t="str">
        <f>IF(OR('Baseline Inputs'!A13="",N('Baseline Inputs'!C13)=0),"",F11+I11)</f>
        <v/>
      </c>
      <c r="K11" s="39" t="str">
        <f>IF(OR('Baseline Inputs'!A13="",N('Baseline Inputs'!C13)=0),"",(N('Baseline Inputs'!Q13)*'Fixed Parameters'!$B$9+N('Baseline Inputs'!R13)*'Fixed Parameters'!$B$10)/C11)</f>
        <v/>
      </c>
      <c r="L11" s="39" t="str">
        <f>IF(OR('Baseline Inputs'!A13="",N('Baseline Inputs'!C13)=0),"",('Fixed Parameters'!$B$11*N('Baseline Inputs'!S13)*'Fixed Parameters'!$B$23*'Fixed Parameters'!$B$24)/1000000/C11)</f>
        <v/>
      </c>
      <c r="M11" s="39" t="str">
        <f>IF(OR('Baseline Inputs'!A13="",N('Baseline Inputs'!C13)=0),"",(N('Baseline Inputs'!T13)*N('Baseline Inputs'!U13)*'Fixed Parameters'!$B$16*(44/28)*'Fixed Parameters'!$B$11)/C11)</f>
        <v/>
      </c>
      <c r="N11" s="40" t="str">
        <f>IF(OR('Baseline Inputs'!A13="",N('Baseline Inputs'!C13)=0),"",K11+L11+IF('Fixed Parameters'!$B$7="QA3",J11+M11,0))</f>
        <v/>
      </c>
      <c r="O11" s="40" t="str">
        <f>IF(OR('Baseline Inputs'!A13="",N('Baseline Inputs'!C13)=0),"",N11*C11)</f>
        <v/>
      </c>
    </row>
    <row r="12" spans="1:15" x14ac:dyDescent="0.3">
      <c r="A12" s="14" t="str">
        <f>IF('Baseline Inputs'!A14="","",'Baseline Inputs'!A14)</f>
        <v/>
      </c>
      <c r="B12" s="14">
        <f>'Baseline Inputs'!B14</f>
        <v>0</v>
      </c>
      <c r="C12" s="14" t="str">
        <f>IF('Baseline Inputs'!A14="","",'Baseline Inputs'!C14)</f>
        <v/>
      </c>
      <c r="D12" s="38" t="str">
        <f>IF(OR('Baseline Inputs'!A14="",N('Baseline Inputs'!C14)=0),"",(N('Baseline Inputs'!I14)*N('Baseline Inputs'!J14)+N('Baseline Inputs'!L14)*N('Baseline Inputs'!M14)+N('Baseline Inputs'!O14)*N('Baseline Inputs'!P14)))</f>
        <v/>
      </c>
      <c r="E12" s="38" t="str">
        <f>IF(OR('Baseline Inputs'!A14="",N('Baseline Inputs'!C14)=0),"",(N('Baseline Inputs'!E14)/IF(N('Baseline Inputs'!G14)=0,1,N('Baseline Inputs'!G14))*N('Baseline Inputs'!F14)))</f>
        <v/>
      </c>
      <c r="F12" s="39" t="str">
        <f>IF(OR('Baseline Inputs'!A14="",N('Baseline Inputs'!C14)=0),"",((D12+E12)*'Fixed Parameters'!$B$16*(44/28)*'Fixed Parameters'!$B$11)/C12)</f>
        <v/>
      </c>
      <c r="G12" s="39" t="str">
        <f>IF(OR('Baseline Inputs'!A14="",N('Baseline Inputs'!C14)=0),"",((D12*'Fixed Parameters'!$B$17)+(E12*'Fixed Parameters'!$B$18))*'Fixed Parameters'!$B$19*(44/28)*'Fixed Parameters'!$B$11)</f>
        <v/>
      </c>
      <c r="H12" s="39" t="str">
        <f>IF(OR('Baseline Inputs'!A14="",N('Baseline Inputs'!C14)=0),"",(D12+E12)*'Fixed Parameters'!$B$21*'Fixed Parameters'!$B$22*(44/28)*'Fixed Parameters'!$B$11)</f>
        <v/>
      </c>
      <c r="I12" s="39" t="str">
        <f>IF(OR('Baseline Inputs'!A14="",N('Baseline Inputs'!C14)=0),"",(G12+H12)/C12)</f>
        <v/>
      </c>
      <c r="J12" s="39" t="str">
        <f>IF(OR('Baseline Inputs'!A14="",N('Baseline Inputs'!C14)=0),"",F12+I12)</f>
        <v/>
      </c>
      <c r="K12" s="39" t="str">
        <f>IF(OR('Baseline Inputs'!A14="",N('Baseline Inputs'!C14)=0),"",(N('Baseline Inputs'!Q14)*'Fixed Parameters'!$B$9+N('Baseline Inputs'!R14)*'Fixed Parameters'!$B$10)/C12)</f>
        <v/>
      </c>
      <c r="L12" s="39" t="str">
        <f>IF(OR('Baseline Inputs'!A14="",N('Baseline Inputs'!C14)=0),"",('Fixed Parameters'!$B$11*N('Baseline Inputs'!S14)*'Fixed Parameters'!$B$23*'Fixed Parameters'!$B$24)/1000000/C12)</f>
        <v/>
      </c>
      <c r="M12" s="39" t="str">
        <f>IF(OR('Baseline Inputs'!A14="",N('Baseline Inputs'!C14)=0),"",(N('Baseline Inputs'!T14)*N('Baseline Inputs'!U14)*'Fixed Parameters'!$B$16*(44/28)*'Fixed Parameters'!$B$11)/C12)</f>
        <v/>
      </c>
      <c r="N12" s="40" t="str">
        <f>IF(OR('Baseline Inputs'!A14="",N('Baseline Inputs'!C14)=0),"",K12+L12+IF('Fixed Parameters'!$B$7="QA3",J12+M12,0))</f>
        <v/>
      </c>
      <c r="O12" s="40" t="str">
        <f>IF(OR('Baseline Inputs'!A14="",N('Baseline Inputs'!C14)=0),"",N12*C12)</f>
        <v/>
      </c>
    </row>
    <row r="13" spans="1:15" x14ac:dyDescent="0.3">
      <c r="A13" s="14" t="str">
        <f>IF('Baseline Inputs'!A15="","",'Baseline Inputs'!A15)</f>
        <v/>
      </c>
      <c r="B13" s="14">
        <f>'Baseline Inputs'!B15</f>
        <v>0</v>
      </c>
      <c r="C13" s="14" t="str">
        <f>IF('Baseline Inputs'!A15="","",'Baseline Inputs'!C15)</f>
        <v/>
      </c>
      <c r="D13" s="38" t="str">
        <f>IF(OR('Baseline Inputs'!A15="",N('Baseline Inputs'!C15)=0),"",(N('Baseline Inputs'!I15)*N('Baseline Inputs'!J15)+N('Baseline Inputs'!L15)*N('Baseline Inputs'!M15)+N('Baseline Inputs'!O15)*N('Baseline Inputs'!P15)))</f>
        <v/>
      </c>
      <c r="E13" s="38" t="str">
        <f>IF(OR('Baseline Inputs'!A15="",N('Baseline Inputs'!C15)=0),"",(N('Baseline Inputs'!E15)/IF(N('Baseline Inputs'!G15)=0,1,N('Baseline Inputs'!G15))*N('Baseline Inputs'!F15)))</f>
        <v/>
      </c>
      <c r="F13" s="39" t="str">
        <f>IF(OR('Baseline Inputs'!A15="",N('Baseline Inputs'!C15)=0),"",((D13+E13)*'Fixed Parameters'!$B$16*(44/28)*'Fixed Parameters'!$B$11)/C13)</f>
        <v/>
      </c>
      <c r="G13" s="39" t="str">
        <f>IF(OR('Baseline Inputs'!A15="",N('Baseline Inputs'!C15)=0),"",((D13*'Fixed Parameters'!$B$17)+(E13*'Fixed Parameters'!$B$18))*'Fixed Parameters'!$B$19*(44/28)*'Fixed Parameters'!$B$11)</f>
        <v/>
      </c>
      <c r="H13" s="39" t="str">
        <f>IF(OR('Baseline Inputs'!A15="",N('Baseline Inputs'!C15)=0),"",(D13+E13)*'Fixed Parameters'!$B$21*'Fixed Parameters'!$B$22*(44/28)*'Fixed Parameters'!$B$11)</f>
        <v/>
      </c>
      <c r="I13" s="39" t="str">
        <f>IF(OR('Baseline Inputs'!A15="",N('Baseline Inputs'!C15)=0),"",(G13+H13)/C13)</f>
        <v/>
      </c>
      <c r="J13" s="39" t="str">
        <f>IF(OR('Baseline Inputs'!A15="",N('Baseline Inputs'!C15)=0),"",F13+I13)</f>
        <v/>
      </c>
      <c r="K13" s="39" t="str">
        <f>IF(OR('Baseline Inputs'!A15="",N('Baseline Inputs'!C15)=0),"",(N('Baseline Inputs'!Q15)*'Fixed Parameters'!$B$9+N('Baseline Inputs'!R15)*'Fixed Parameters'!$B$10)/C13)</f>
        <v/>
      </c>
      <c r="L13" s="39" t="str">
        <f>IF(OR('Baseline Inputs'!A15="",N('Baseline Inputs'!C15)=0),"",('Fixed Parameters'!$B$11*N('Baseline Inputs'!S15)*'Fixed Parameters'!$B$23*'Fixed Parameters'!$B$24)/1000000/C13)</f>
        <v/>
      </c>
      <c r="M13" s="39" t="str">
        <f>IF(OR('Baseline Inputs'!A15="",N('Baseline Inputs'!C15)=0),"",(N('Baseline Inputs'!T15)*N('Baseline Inputs'!U15)*'Fixed Parameters'!$B$16*(44/28)*'Fixed Parameters'!$B$11)/C13)</f>
        <v/>
      </c>
      <c r="N13" s="40" t="str">
        <f>IF(OR('Baseline Inputs'!A15="",N('Baseline Inputs'!C15)=0),"",K13+L13+IF('Fixed Parameters'!$B$7="QA3",J13+M13,0))</f>
        <v/>
      </c>
      <c r="O13" s="40" t="str">
        <f>IF(OR('Baseline Inputs'!A15="",N('Baseline Inputs'!C15)=0),"",N13*C13)</f>
        <v/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9"/>
  <sheetViews>
    <sheetView showGridLines="0" workbookViewId="0">
      <pane ySplit="4" topLeftCell="A5" activePane="bottomLeft" state="frozen"/>
      <selection pane="bottomLeft" sqref="A1:H1"/>
    </sheetView>
  </sheetViews>
  <sheetFormatPr defaultRowHeight="14.4" x14ac:dyDescent="0.3"/>
  <cols>
    <col min="1" max="1" width="14" customWidth="1"/>
    <col min="2" max="2" width="7" customWidth="1"/>
    <col min="3" max="3" width="8" customWidth="1"/>
    <col min="6" max="6" width="12" customWidth="1"/>
    <col min="7" max="8" width="11" customWidth="1"/>
    <col min="9" max="9" width="12" customWidth="1"/>
    <col min="10" max="13" width="11" customWidth="1"/>
    <col min="14" max="15" width="12" customWidth="1"/>
  </cols>
  <sheetData>
    <row r="1" spans="1:15" ht="28.05" customHeight="1" x14ac:dyDescent="0.3">
      <c r="A1" s="70" t="s">
        <v>271</v>
      </c>
      <c r="B1" s="70"/>
      <c r="C1" s="70"/>
      <c r="D1" s="70"/>
      <c r="E1" s="70"/>
      <c r="F1" s="70"/>
      <c r="G1" s="70"/>
      <c r="H1" s="70"/>
    </row>
    <row r="2" spans="1:15" x14ac:dyDescent="0.3">
      <c r="A2" s="77" t="str">
        <f>"▶ Soil N₂O approach = "&amp;'Fixed Parameters'!$B$7&amp;IF('Fixed Parameters'!$B$7="QA3"," → soil N₂O (fertilizer + N-fixing) IS COUNTED on this sheet (QA3 default-factor)."," → soil N₂O is EXCLUDED here and taken from the QA1 model (SOC Removals sheet) — no double-counting.")</f>
        <v>▶ Soil N₂O approach = QA3 → soil N₂O (fertilizer + N-fixing) IS COUNTED on this sheet (QA3 default-factor).</v>
      </c>
      <c r="B2" s="77"/>
      <c r="C2" s="77"/>
      <c r="D2" s="77"/>
      <c r="E2" s="77"/>
      <c r="F2" s="77"/>
      <c r="G2" s="77"/>
      <c r="H2" s="77"/>
    </row>
    <row r="3" spans="1:15" ht="27.6" x14ac:dyDescent="0.3">
      <c r="A3" s="19" t="s">
        <v>237</v>
      </c>
      <c r="B3" s="19" t="s">
        <v>238</v>
      </c>
      <c r="C3" s="19" t="s">
        <v>239</v>
      </c>
      <c r="D3" s="19" t="s">
        <v>259</v>
      </c>
      <c r="E3" s="19" t="s">
        <v>260</v>
      </c>
      <c r="F3" s="19" t="s">
        <v>261</v>
      </c>
      <c r="G3" s="19" t="s">
        <v>262</v>
      </c>
      <c r="H3" s="19" t="s">
        <v>263</v>
      </c>
      <c r="I3" s="19" t="s">
        <v>264</v>
      </c>
      <c r="J3" s="19" t="s">
        <v>265</v>
      </c>
      <c r="K3" s="19" t="s">
        <v>266</v>
      </c>
      <c r="L3" s="19" t="s">
        <v>267</v>
      </c>
      <c r="M3" s="19" t="s">
        <v>268</v>
      </c>
      <c r="N3" s="19" t="s">
        <v>269</v>
      </c>
      <c r="O3" s="19" t="s">
        <v>270</v>
      </c>
    </row>
    <row r="4" spans="1:15" x14ac:dyDescent="0.3">
      <c r="A4" s="14" t="str">
        <f>IF('Project Inputs'!A6="","",'Project Inputs'!A6)</f>
        <v>Farm_A</v>
      </c>
      <c r="B4" s="14">
        <f>'Project Inputs'!B6</f>
        <v>2025</v>
      </c>
      <c r="C4" s="14">
        <f>IF('Project Inputs'!A6="","",'Project Inputs'!C6)</f>
        <v>50</v>
      </c>
      <c r="D4" s="38">
        <f>IF(OR('Project Inputs'!A6="",N('Project Inputs'!C6)=0),"",(N('Project Inputs'!I6)*N('Project Inputs'!J6)+N('Project Inputs'!L6)*N('Project Inputs'!M6)+N('Project Inputs'!O6)*N('Project Inputs'!P6)))</f>
        <v>11.2</v>
      </c>
      <c r="E4" s="38">
        <f>IF(OR('Project Inputs'!A6="",N('Project Inputs'!C6)=0),"",(N('Project Inputs'!E6)/IF(N('Project Inputs'!G6)=0,1,N('Project Inputs'!G6))*N('Project Inputs'!F6)))</f>
        <v>0</v>
      </c>
      <c r="F4" s="39">
        <f>IF(OR('Project Inputs'!A6="",N('Project Inputs'!C6)=0),"",((D4+E4)*'Fixed Parameters'!$B$16*(44/28)*'Fixed Parameters'!$B$11)/C4)</f>
        <v>1.2126399999999997</v>
      </c>
      <c r="G4" s="39">
        <f>IF(OR('Project Inputs'!A6="",N('Project Inputs'!C6)=0),"",((D4*'Fixed Parameters'!$B$17)+(E4*'Fixed Parameters'!$B$18))*'Fixed Parameters'!$B$19*(44/28)*'Fixed Parameters'!$B$11)</f>
        <v>7.1825599999999996</v>
      </c>
      <c r="H4" s="39">
        <f>IF(OR('Project Inputs'!A6="",N('Project Inputs'!C6)=0),"",(D4+E4)*'Fixed Parameters'!$B$21*'Fixed Parameters'!$B$22*(44/28)*'Fixed Parameters'!$B$11)</f>
        <v>12.312959999999999</v>
      </c>
      <c r="I4" s="39">
        <f>IF(OR('Project Inputs'!A6="",N('Project Inputs'!C6)=0),"",(G4+H4)/C4)</f>
        <v>0.38991039999999999</v>
      </c>
      <c r="J4" s="39">
        <f>IF(OR('Project Inputs'!A6="",N('Project Inputs'!C6)=0),"",F4+I4)</f>
        <v>1.6025503999999997</v>
      </c>
      <c r="K4" s="39">
        <f>IF(OR('Project Inputs'!A6="",N('Project Inputs'!C6)=0),"",(N('Project Inputs'!Q6)*'Fixed Parameters'!$B$9+N('Project Inputs'!R6)*'Fixed Parameters'!$B$10)/C4)</f>
        <v>0.43290000000000001</v>
      </c>
      <c r="L4" s="39">
        <f>IF(OR('Project Inputs'!A6="",N('Project Inputs'!C6)=0),"",('Fixed Parameters'!$B$11*N('Project Inputs'!S6)*'Fixed Parameters'!$B$23*'Fixed Parameters'!$B$24)/1000000/C4)</f>
        <v>0</v>
      </c>
      <c r="M4" s="39">
        <f>IF(OR('Project Inputs'!A6="",N('Project Inputs'!C6)=0),"",(N('Project Inputs'!T6)*N('Project Inputs'!U6)*'Fixed Parameters'!$B$16*(44/28)*'Fixed Parameters'!$B$11)/C4)</f>
        <v>0</v>
      </c>
      <c r="N4" s="40">
        <f>IF(OR('Project Inputs'!A6="",N('Project Inputs'!C6)=0),"",K4+L4+IF('Fixed Parameters'!$B$7="QA3",J4+M4,0))</f>
        <v>2.0354503999999998</v>
      </c>
      <c r="O4" s="40">
        <f>IF(OR('Project Inputs'!A6="",N('Project Inputs'!C6)=0),"",N4*C4)</f>
        <v>101.77251999999999</v>
      </c>
    </row>
    <row r="5" spans="1:15" x14ac:dyDescent="0.3">
      <c r="A5" s="14" t="str">
        <f>IF('Project Inputs'!A7="","",'Project Inputs'!A7)</f>
        <v>Farm_B</v>
      </c>
      <c r="B5" s="14">
        <f>'Project Inputs'!B7</f>
        <v>2025</v>
      </c>
      <c r="C5" s="14">
        <f>IF('Project Inputs'!A7="","",'Project Inputs'!C7)</f>
        <v>30</v>
      </c>
      <c r="D5" s="38">
        <f>IF(OR('Project Inputs'!A7="",N('Project Inputs'!C7)=0),"",(N('Project Inputs'!I7)*N('Project Inputs'!J7)+N('Project Inputs'!L7)*N('Project Inputs'!M7)+N('Project Inputs'!O7)*N('Project Inputs'!P7)))</f>
        <v>4.62</v>
      </c>
      <c r="E5" s="38">
        <f>IF(OR('Project Inputs'!A7="",N('Project Inputs'!C7)=0),"",(N('Project Inputs'!E7)/IF(N('Project Inputs'!G7)=0,1,N('Project Inputs'!G7))*N('Project Inputs'!F7)))</f>
        <v>0.78</v>
      </c>
      <c r="F5" s="39">
        <f>IF(OR('Project Inputs'!A7="",N('Project Inputs'!C7)=0),"",((D5+E5)*'Fixed Parameters'!$B$16*(44/28)*'Fixed Parameters'!$B$11)/C5)</f>
        <v>0.97444285714285717</v>
      </c>
      <c r="G5" s="39">
        <f>IF(OR('Project Inputs'!A7="",N('Project Inputs'!C7)=0),"",((D5*'Fixed Parameters'!$B$17)+(E5*'Fixed Parameters'!$B$18))*'Fixed Parameters'!$B$19*(44/28)*'Fixed Parameters'!$B$11)</f>
        <v>3.9177599999999995</v>
      </c>
      <c r="H5" s="39">
        <f>IF(OR('Project Inputs'!A7="",N('Project Inputs'!C7)=0),"",(D5+E5)*'Fixed Parameters'!$B$21*'Fixed Parameters'!$B$22*(44/28)*'Fixed Parameters'!$B$11)</f>
        <v>5.9366057142857143</v>
      </c>
      <c r="I5" s="39">
        <f>IF(OR('Project Inputs'!A7="",N('Project Inputs'!C7)=0),"",(G5+H5)/C5)</f>
        <v>0.32847885714285707</v>
      </c>
      <c r="J5" s="39">
        <f>IF(OR('Project Inputs'!A7="",N('Project Inputs'!C7)=0),"",F5+I5)</f>
        <v>1.3029217142857141</v>
      </c>
      <c r="K5" s="39">
        <f>IF(OR('Project Inputs'!A7="",N('Project Inputs'!C7)=0),"",(N('Project Inputs'!Q7)*'Fixed Parameters'!$B$9+N('Project Inputs'!R7)*'Fixed Parameters'!$B$10)/C5)</f>
        <v>0.44252000000000002</v>
      </c>
      <c r="L5" s="39">
        <f>IF(OR('Project Inputs'!A7="",N('Project Inputs'!C7)=0),"",('Fixed Parameters'!$B$11*N('Project Inputs'!S7)*'Fixed Parameters'!$B$23*'Fixed Parameters'!$B$24)/1000000/C5)</f>
        <v>0</v>
      </c>
      <c r="M5" s="39">
        <f>IF(OR('Project Inputs'!A7="",N('Project Inputs'!C7)=0),"",(N('Project Inputs'!T7)*N('Project Inputs'!U7)*'Fixed Parameters'!$B$16*(44/28)*'Fixed Parameters'!$B$11)/C5)</f>
        <v>7.218095238095237E-3</v>
      </c>
      <c r="N5" s="40">
        <f>IF(OR('Project Inputs'!A7="",N('Project Inputs'!C7)=0),"",K5+L5+IF('Fixed Parameters'!$B$7="QA3",J5+M5,0))</f>
        <v>1.7526598095238093</v>
      </c>
      <c r="O5" s="40">
        <f>IF(OR('Project Inputs'!A7="",N('Project Inputs'!C7)=0),"",N5*C5)</f>
        <v>52.579794285714279</v>
      </c>
    </row>
    <row r="6" spans="1:15" x14ac:dyDescent="0.3">
      <c r="A6" s="14" t="str">
        <f>IF('Project Inputs'!A8="","",'Project Inputs'!A8)</f>
        <v/>
      </c>
      <c r="B6" s="14">
        <f>'Project Inputs'!B8</f>
        <v>0</v>
      </c>
      <c r="C6" s="14" t="str">
        <f>IF('Project Inputs'!A8="","",'Project Inputs'!C8)</f>
        <v/>
      </c>
      <c r="D6" s="38" t="str">
        <f>IF(OR('Project Inputs'!A8="",N('Project Inputs'!C8)=0),"",(N('Project Inputs'!I8)*N('Project Inputs'!J8)+N('Project Inputs'!L8)*N('Project Inputs'!M8)+N('Project Inputs'!O8)*N('Project Inputs'!P8)))</f>
        <v/>
      </c>
      <c r="E6" s="38" t="str">
        <f>IF(OR('Project Inputs'!A8="",N('Project Inputs'!C8)=0),"",(N('Project Inputs'!E8)/IF(N('Project Inputs'!G8)=0,1,N('Project Inputs'!G8))*N('Project Inputs'!F8)))</f>
        <v/>
      </c>
      <c r="F6" s="39" t="str">
        <f>IF(OR('Project Inputs'!A8="",N('Project Inputs'!C8)=0),"",((D6+E6)*'Fixed Parameters'!$B$16*(44/28)*'Fixed Parameters'!$B$11)/C6)</f>
        <v/>
      </c>
      <c r="G6" s="39" t="str">
        <f>IF(OR('Project Inputs'!A8="",N('Project Inputs'!C8)=0),"",((D6*'Fixed Parameters'!$B$17)+(E6*'Fixed Parameters'!$B$18))*'Fixed Parameters'!$B$19*(44/28)*'Fixed Parameters'!$B$11)</f>
        <v/>
      </c>
      <c r="H6" s="39" t="str">
        <f>IF(OR('Project Inputs'!A8="",N('Project Inputs'!C8)=0),"",(D6+E6)*'Fixed Parameters'!$B$21*'Fixed Parameters'!$B$22*(44/28)*'Fixed Parameters'!$B$11)</f>
        <v/>
      </c>
      <c r="I6" s="39" t="str">
        <f>IF(OR('Project Inputs'!A8="",N('Project Inputs'!C8)=0),"",(G6+H6)/C6)</f>
        <v/>
      </c>
      <c r="J6" s="39" t="str">
        <f>IF(OR('Project Inputs'!A8="",N('Project Inputs'!C8)=0),"",F6+I6)</f>
        <v/>
      </c>
      <c r="K6" s="39" t="str">
        <f>IF(OR('Project Inputs'!A8="",N('Project Inputs'!C8)=0),"",(N('Project Inputs'!Q8)*'Fixed Parameters'!$B$9+N('Project Inputs'!R8)*'Fixed Parameters'!$B$10)/C6)</f>
        <v/>
      </c>
      <c r="L6" s="39" t="str">
        <f>IF(OR('Project Inputs'!A8="",N('Project Inputs'!C8)=0),"",('Fixed Parameters'!$B$11*N('Project Inputs'!S8)*'Fixed Parameters'!$B$23*'Fixed Parameters'!$B$24)/1000000/C6)</f>
        <v/>
      </c>
      <c r="M6" s="39" t="str">
        <f>IF(OR('Project Inputs'!A8="",N('Project Inputs'!C8)=0),"",(N('Project Inputs'!T8)*N('Project Inputs'!U8)*'Fixed Parameters'!$B$16*(44/28)*'Fixed Parameters'!$B$11)/C6)</f>
        <v/>
      </c>
      <c r="N6" s="40" t="str">
        <f>IF(OR('Project Inputs'!A8="",N('Project Inputs'!C8)=0),"",K6+L6+IF('Fixed Parameters'!$B$7="QA3",J6+M6,0))</f>
        <v/>
      </c>
      <c r="O6" s="40" t="str">
        <f>IF(OR('Project Inputs'!A8="",N('Project Inputs'!C8)=0),"",N6*C6)</f>
        <v/>
      </c>
    </row>
    <row r="7" spans="1:15" x14ac:dyDescent="0.3">
      <c r="A7" s="14" t="str">
        <f>IF('Project Inputs'!A9="","",'Project Inputs'!A9)</f>
        <v/>
      </c>
      <c r="B7" s="14">
        <f>'Project Inputs'!B9</f>
        <v>0</v>
      </c>
      <c r="C7" s="14" t="str">
        <f>IF('Project Inputs'!A9="","",'Project Inputs'!C9)</f>
        <v/>
      </c>
      <c r="D7" s="38" t="str">
        <f>IF(OR('Project Inputs'!A9="",N('Project Inputs'!C9)=0),"",(N('Project Inputs'!I9)*N('Project Inputs'!J9)+N('Project Inputs'!L9)*N('Project Inputs'!M9)+N('Project Inputs'!O9)*N('Project Inputs'!P9)))</f>
        <v/>
      </c>
      <c r="E7" s="38" t="str">
        <f>IF(OR('Project Inputs'!A9="",N('Project Inputs'!C9)=0),"",(N('Project Inputs'!E9)/IF(N('Project Inputs'!G9)=0,1,N('Project Inputs'!G9))*N('Project Inputs'!F9)))</f>
        <v/>
      </c>
      <c r="F7" s="39" t="str">
        <f>IF(OR('Project Inputs'!A9="",N('Project Inputs'!C9)=0),"",((D7+E7)*'Fixed Parameters'!$B$16*(44/28)*'Fixed Parameters'!$B$11)/C7)</f>
        <v/>
      </c>
      <c r="G7" s="39" t="str">
        <f>IF(OR('Project Inputs'!A9="",N('Project Inputs'!C9)=0),"",((D7*'Fixed Parameters'!$B$17)+(E7*'Fixed Parameters'!$B$18))*'Fixed Parameters'!$B$19*(44/28)*'Fixed Parameters'!$B$11)</f>
        <v/>
      </c>
      <c r="H7" s="39" t="str">
        <f>IF(OR('Project Inputs'!A9="",N('Project Inputs'!C9)=0),"",(D7+E7)*'Fixed Parameters'!$B$21*'Fixed Parameters'!$B$22*(44/28)*'Fixed Parameters'!$B$11)</f>
        <v/>
      </c>
      <c r="I7" s="39" t="str">
        <f>IF(OR('Project Inputs'!A9="",N('Project Inputs'!C9)=0),"",(G7+H7)/C7)</f>
        <v/>
      </c>
      <c r="J7" s="39" t="str">
        <f>IF(OR('Project Inputs'!A9="",N('Project Inputs'!C9)=0),"",F7+I7)</f>
        <v/>
      </c>
      <c r="K7" s="39" t="str">
        <f>IF(OR('Project Inputs'!A9="",N('Project Inputs'!C9)=0),"",(N('Project Inputs'!Q9)*'Fixed Parameters'!$B$9+N('Project Inputs'!R9)*'Fixed Parameters'!$B$10)/C7)</f>
        <v/>
      </c>
      <c r="L7" s="39" t="str">
        <f>IF(OR('Project Inputs'!A9="",N('Project Inputs'!C9)=0),"",('Fixed Parameters'!$B$11*N('Project Inputs'!S9)*'Fixed Parameters'!$B$23*'Fixed Parameters'!$B$24)/1000000/C7)</f>
        <v/>
      </c>
      <c r="M7" s="39" t="str">
        <f>IF(OR('Project Inputs'!A9="",N('Project Inputs'!C9)=0),"",(N('Project Inputs'!T9)*N('Project Inputs'!U9)*'Fixed Parameters'!$B$16*(44/28)*'Fixed Parameters'!$B$11)/C7)</f>
        <v/>
      </c>
      <c r="N7" s="40" t="str">
        <f>IF(OR('Project Inputs'!A9="",N('Project Inputs'!C9)=0),"",K7+L7+IF('Fixed Parameters'!$B$7="QA3",J7+M7,0))</f>
        <v/>
      </c>
      <c r="O7" s="40" t="str">
        <f>IF(OR('Project Inputs'!A9="",N('Project Inputs'!C9)=0),"",N7*C7)</f>
        <v/>
      </c>
    </row>
    <row r="8" spans="1:15" x14ac:dyDescent="0.3">
      <c r="A8" s="14" t="str">
        <f>IF('Project Inputs'!A10="","",'Project Inputs'!A10)</f>
        <v/>
      </c>
      <c r="B8" s="14">
        <f>'Project Inputs'!B10</f>
        <v>0</v>
      </c>
      <c r="C8" s="14" t="str">
        <f>IF('Project Inputs'!A10="","",'Project Inputs'!C10)</f>
        <v/>
      </c>
      <c r="D8" s="38" t="str">
        <f>IF(OR('Project Inputs'!A10="",N('Project Inputs'!C10)=0),"",(N('Project Inputs'!I10)*N('Project Inputs'!J10)+N('Project Inputs'!L10)*N('Project Inputs'!M10)+N('Project Inputs'!O10)*N('Project Inputs'!P10)))</f>
        <v/>
      </c>
      <c r="E8" s="38" t="str">
        <f>IF(OR('Project Inputs'!A10="",N('Project Inputs'!C10)=0),"",(N('Project Inputs'!E10)/IF(N('Project Inputs'!G10)=0,1,N('Project Inputs'!G10))*N('Project Inputs'!F10)))</f>
        <v/>
      </c>
      <c r="F8" s="39" t="str">
        <f>IF(OR('Project Inputs'!A10="",N('Project Inputs'!C10)=0),"",((D8+E8)*'Fixed Parameters'!$B$16*(44/28)*'Fixed Parameters'!$B$11)/C8)</f>
        <v/>
      </c>
      <c r="G8" s="39" t="str">
        <f>IF(OR('Project Inputs'!A10="",N('Project Inputs'!C10)=0),"",((D8*'Fixed Parameters'!$B$17)+(E8*'Fixed Parameters'!$B$18))*'Fixed Parameters'!$B$19*(44/28)*'Fixed Parameters'!$B$11)</f>
        <v/>
      </c>
      <c r="H8" s="39" t="str">
        <f>IF(OR('Project Inputs'!A10="",N('Project Inputs'!C10)=0),"",(D8+E8)*'Fixed Parameters'!$B$21*'Fixed Parameters'!$B$22*(44/28)*'Fixed Parameters'!$B$11)</f>
        <v/>
      </c>
      <c r="I8" s="39" t="str">
        <f>IF(OR('Project Inputs'!A10="",N('Project Inputs'!C10)=0),"",(G8+H8)/C8)</f>
        <v/>
      </c>
      <c r="J8" s="39" t="str">
        <f>IF(OR('Project Inputs'!A10="",N('Project Inputs'!C10)=0),"",F8+I8)</f>
        <v/>
      </c>
      <c r="K8" s="39" t="str">
        <f>IF(OR('Project Inputs'!A10="",N('Project Inputs'!C10)=0),"",(N('Project Inputs'!Q10)*'Fixed Parameters'!$B$9+N('Project Inputs'!R10)*'Fixed Parameters'!$B$10)/C8)</f>
        <v/>
      </c>
      <c r="L8" s="39" t="str">
        <f>IF(OR('Project Inputs'!A10="",N('Project Inputs'!C10)=0),"",('Fixed Parameters'!$B$11*N('Project Inputs'!S10)*'Fixed Parameters'!$B$23*'Fixed Parameters'!$B$24)/1000000/C8)</f>
        <v/>
      </c>
      <c r="M8" s="39" t="str">
        <f>IF(OR('Project Inputs'!A10="",N('Project Inputs'!C10)=0),"",(N('Project Inputs'!T10)*N('Project Inputs'!U10)*'Fixed Parameters'!$B$16*(44/28)*'Fixed Parameters'!$B$11)/C8)</f>
        <v/>
      </c>
      <c r="N8" s="40" t="str">
        <f>IF(OR('Project Inputs'!A10="",N('Project Inputs'!C10)=0),"",K8+L8+IF('Fixed Parameters'!$B$7="QA3",J8+M8,0))</f>
        <v/>
      </c>
      <c r="O8" s="40" t="str">
        <f>IF(OR('Project Inputs'!A10="",N('Project Inputs'!C10)=0),"",N8*C8)</f>
        <v/>
      </c>
    </row>
    <row r="9" spans="1:15" x14ac:dyDescent="0.3">
      <c r="A9" s="14" t="str">
        <f>IF('Project Inputs'!A11="","",'Project Inputs'!A11)</f>
        <v/>
      </c>
      <c r="B9" s="14">
        <f>'Project Inputs'!B11</f>
        <v>0</v>
      </c>
      <c r="C9" s="14" t="str">
        <f>IF('Project Inputs'!A11="","",'Project Inputs'!C11)</f>
        <v/>
      </c>
      <c r="D9" s="38" t="str">
        <f>IF(OR('Project Inputs'!A11="",N('Project Inputs'!C11)=0),"",(N('Project Inputs'!I11)*N('Project Inputs'!J11)+N('Project Inputs'!L11)*N('Project Inputs'!M11)+N('Project Inputs'!O11)*N('Project Inputs'!P11)))</f>
        <v/>
      </c>
      <c r="E9" s="38" t="str">
        <f>IF(OR('Project Inputs'!A11="",N('Project Inputs'!C11)=0),"",(N('Project Inputs'!E11)/IF(N('Project Inputs'!G11)=0,1,N('Project Inputs'!G11))*N('Project Inputs'!F11)))</f>
        <v/>
      </c>
      <c r="F9" s="39" t="str">
        <f>IF(OR('Project Inputs'!A11="",N('Project Inputs'!C11)=0),"",((D9+E9)*'Fixed Parameters'!$B$16*(44/28)*'Fixed Parameters'!$B$11)/C9)</f>
        <v/>
      </c>
      <c r="G9" s="39" t="str">
        <f>IF(OR('Project Inputs'!A11="",N('Project Inputs'!C11)=0),"",((D9*'Fixed Parameters'!$B$17)+(E9*'Fixed Parameters'!$B$18))*'Fixed Parameters'!$B$19*(44/28)*'Fixed Parameters'!$B$11)</f>
        <v/>
      </c>
      <c r="H9" s="39" t="str">
        <f>IF(OR('Project Inputs'!A11="",N('Project Inputs'!C11)=0),"",(D9+E9)*'Fixed Parameters'!$B$21*'Fixed Parameters'!$B$22*(44/28)*'Fixed Parameters'!$B$11)</f>
        <v/>
      </c>
      <c r="I9" s="39" t="str">
        <f>IF(OR('Project Inputs'!A11="",N('Project Inputs'!C11)=0),"",(G9+H9)/C9)</f>
        <v/>
      </c>
      <c r="J9" s="39" t="str">
        <f>IF(OR('Project Inputs'!A11="",N('Project Inputs'!C11)=0),"",F9+I9)</f>
        <v/>
      </c>
      <c r="K9" s="39" t="str">
        <f>IF(OR('Project Inputs'!A11="",N('Project Inputs'!C11)=0),"",(N('Project Inputs'!Q11)*'Fixed Parameters'!$B$9+N('Project Inputs'!R11)*'Fixed Parameters'!$B$10)/C9)</f>
        <v/>
      </c>
      <c r="L9" s="39" t="str">
        <f>IF(OR('Project Inputs'!A11="",N('Project Inputs'!C11)=0),"",('Fixed Parameters'!$B$11*N('Project Inputs'!S11)*'Fixed Parameters'!$B$23*'Fixed Parameters'!$B$24)/1000000/C9)</f>
        <v/>
      </c>
      <c r="M9" s="39" t="str">
        <f>IF(OR('Project Inputs'!A11="",N('Project Inputs'!C11)=0),"",(N('Project Inputs'!T11)*N('Project Inputs'!U11)*'Fixed Parameters'!$B$16*(44/28)*'Fixed Parameters'!$B$11)/C9)</f>
        <v/>
      </c>
      <c r="N9" s="40" t="str">
        <f>IF(OR('Project Inputs'!A11="",N('Project Inputs'!C11)=0),"",K9+L9+IF('Fixed Parameters'!$B$7="QA3",J9+M9,0))</f>
        <v/>
      </c>
      <c r="O9" s="40" t="str">
        <f>IF(OR('Project Inputs'!A11="",N('Project Inputs'!C11)=0),"",N9*C9)</f>
        <v/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"/>
  <sheetViews>
    <sheetView showGridLines="0" workbookViewId="0">
      <pane ySplit="4" topLeftCell="A5" activePane="bottomLeft" state="frozen"/>
      <selection pane="bottomLeft" sqref="A1:H1"/>
    </sheetView>
  </sheetViews>
  <sheetFormatPr defaultRowHeight="14.4" x14ac:dyDescent="0.3"/>
  <cols>
    <col min="1" max="1" width="14" customWidth="1"/>
    <col min="2" max="2" width="12" customWidth="1"/>
    <col min="3" max="6" width="13" customWidth="1"/>
    <col min="7" max="8" width="14" customWidth="1"/>
    <col min="9" max="9" width="13" customWidth="1"/>
    <col min="10" max="10" width="15" customWidth="1"/>
  </cols>
  <sheetData>
    <row r="1" spans="1:10" ht="28.05" customHeight="1" x14ac:dyDescent="0.3">
      <c r="A1" s="70" t="s">
        <v>66</v>
      </c>
      <c r="B1" s="70"/>
      <c r="C1" s="70"/>
      <c r="D1" s="70"/>
      <c r="E1" s="70"/>
      <c r="F1" s="70"/>
      <c r="G1" s="70"/>
      <c r="H1" s="70"/>
    </row>
    <row r="2" spans="1:10" x14ac:dyDescent="0.3">
      <c r="A2" s="71" t="s">
        <v>272</v>
      </c>
      <c r="B2" s="71"/>
      <c r="C2" s="71"/>
      <c r="D2" s="71"/>
      <c r="E2" s="71"/>
      <c r="F2" s="71"/>
      <c r="G2" s="71"/>
      <c r="H2" s="71"/>
    </row>
    <row r="3" spans="1:10" ht="27.6" x14ac:dyDescent="0.3">
      <c r="A3" s="19" t="s">
        <v>237</v>
      </c>
      <c r="B3" s="19" t="s">
        <v>273</v>
      </c>
      <c r="C3" s="19" t="s">
        <v>274</v>
      </c>
      <c r="D3" s="19" t="s">
        <v>275</v>
      </c>
      <c r="E3" s="19" t="s">
        <v>276</v>
      </c>
      <c r="F3" s="19" t="s">
        <v>277</v>
      </c>
      <c r="G3" s="19" t="s">
        <v>278</v>
      </c>
      <c r="H3" s="19" t="s">
        <v>279</v>
      </c>
      <c r="I3" s="19" t="s">
        <v>280</v>
      </c>
      <c r="J3" s="19" t="s">
        <v>281</v>
      </c>
    </row>
    <row r="4" spans="1:10" x14ac:dyDescent="0.3">
      <c r="A4" s="18" t="s">
        <v>254</v>
      </c>
      <c r="B4" s="41">
        <f>IFERROR(AVERAGEIFS('Project Emissions'!C$4:C$9,'Project Emissions'!$A$4:$A$9,A4),0)</f>
        <v>50</v>
      </c>
      <c r="C4" s="39">
        <f>IFERROR(AVERAGEIFS('Baseline Emissions'!N$4:N$13,'Baseline Emissions'!$A$4:$A$13,A4),0)</f>
        <v>2.6863149895238094</v>
      </c>
      <c r="D4" s="39">
        <f>IFERROR(AVERAGEIFS('Project Emissions'!N$4:N$9,'Project Emissions'!$A$4:$A$9,A4),0)</f>
        <v>2.0354503999999998</v>
      </c>
      <c r="E4" s="39">
        <f>C4-D4</f>
        <v>0.65086458952380966</v>
      </c>
      <c r="F4" s="42">
        <f>E4*B4</f>
        <v>32.543229476190483</v>
      </c>
      <c r="G4" s="43">
        <v>0</v>
      </c>
      <c r="H4" s="44">
        <f>F4-G4</f>
        <v>32.543229476190483</v>
      </c>
      <c r="I4" s="39">
        <f>IFERROR(AVERAGEIFS('Baseline Emissions'!K$4:K$13,'Baseline Emissions'!$A$4:$A$13,A4)-AVERAGEIFS('Project Emissions'!K$4:K$9,'Project Emissions'!$A$4:$A$9,A4),0)</f>
        <v>8.6580000000000046E-2</v>
      </c>
      <c r="J4" s="39">
        <f>IFERROR(AVERAGEIFS('Baseline Emissions'!J$4:J$13,'Baseline Emissions'!$A$4:$A$13,A4)-AVERAGEIFS('Project Emissions'!J$4:J$9,'Project Emissions'!$A$4:$A$9,A4),0)</f>
        <v>0.56428458952380955</v>
      </c>
    </row>
    <row r="5" spans="1:10" x14ac:dyDescent="0.3">
      <c r="A5" s="18" t="s">
        <v>255</v>
      </c>
      <c r="B5" s="41">
        <f>IFERROR(AVERAGEIFS('Project Emissions'!C$4:C$9,'Project Emissions'!$A$4:$A$9,A5),0)</f>
        <v>30</v>
      </c>
      <c r="C5" s="39">
        <f>IFERROR(AVERAGEIFS('Baseline Emissions'!N$4:N$13,'Baseline Emissions'!$A$4:$A$13,A5),0)</f>
        <v>2.2152466738095238</v>
      </c>
      <c r="D5" s="39">
        <f>IFERROR(AVERAGEIFS('Project Emissions'!N$4:N$9,'Project Emissions'!$A$4:$A$9,A5),0)</f>
        <v>1.7526598095238093</v>
      </c>
      <c r="E5" s="39">
        <f>C5-D5</f>
        <v>0.46258686428571449</v>
      </c>
      <c r="F5" s="42">
        <f>E5*B5</f>
        <v>13.877605928571434</v>
      </c>
      <c r="G5" s="43">
        <v>0</v>
      </c>
      <c r="H5" s="44">
        <f>F5-G5</f>
        <v>13.877605928571434</v>
      </c>
      <c r="I5" s="39">
        <f>IFERROR(AVERAGEIFS('Baseline Emissions'!K$4:K$13,'Baseline Emissions'!$A$4:$A$13,A5)-AVERAGEIFS('Project Emissions'!K$4:K$9,'Project Emissions'!$A$4:$A$9,A5),0)</f>
        <v>7.6960000000000028E-2</v>
      </c>
      <c r="J5" s="39">
        <f>IFERROR(AVERAGEIFS('Baseline Emissions'!J$4:J$13,'Baseline Emissions'!$A$4:$A$13,A5)-AVERAGEIFS('Project Emissions'!J$4:J$9,'Project Emissions'!$A$4:$A$9,A5),0)</f>
        <v>0.38516311428571415</v>
      </c>
    </row>
    <row r="6" spans="1:10" x14ac:dyDescent="0.3">
      <c r="A6" s="45" t="s">
        <v>282</v>
      </c>
      <c r="B6" s="46">
        <f>SUM(B4:B5)</f>
        <v>80</v>
      </c>
      <c r="F6" s="47">
        <f>SUM(F4:F5)</f>
        <v>46.420835404761917</v>
      </c>
      <c r="H6" s="47">
        <f>SUM(H4:H5)</f>
        <v>46.420835404761917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3"/>
  <sheetViews>
    <sheetView showGridLines="0" workbookViewId="0">
      <pane ySplit="4" topLeftCell="A5" activePane="bottomLeft" state="frozen"/>
      <selection pane="bottomLeft" sqref="A1:H1"/>
    </sheetView>
  </sheetViews>
  <sheetFormatPr defaultRowHeight="14.4" x14ac:dyDescent="0.3"/>
  <cols>
    <col min="1" max="1" width="14" customWidth="1"/>
    <col min="2" max="2" width="12" customWidth="1"/>
    <col min="3" max="6" width="16" customWidth="1"/>
    <col min="7" max="7" width="14" customWidth="1"/>
    <col min="8" max="9" width="16" customWidth="1"/>
    <col min="10" max="10" width="30" customWidth="1"/>
  </cols>
  <sheetData>
    <row r="1" spans="1:10" ht="28.05" customHeight="1" x14ac:dyDescent="0.3">
      <c r="A1" s="70" t="s">
        <v>283</v>
      </c>
      <c r="B1" s="70"/>
      <c r="C1" s="70"/>
      <c r="D1" s="70"/>
      <c r="E1" s="70"/>
      <c r="F1" s="70"/>
      <c r="G1" s="70"/>
      <c r="H1" s="70"/>
    </row>
    <row r="2" spans="1:10" x14ac:dyDescent="0.3">
      <c r="A2" s="71" t="s">
        <v>284</v>
      </c>
      <c r="B2" s="71"/>
      <c r="C2" s="71"/>
      <c r="D2" s="71"/>
      <c r="E2" s="71"/>
      <c r="F2" s="71"/>
      <c r="G2" s="71"/>
      <c r="H2" s="71"/>
    </row>
    <row r="3" spans="1:10" x14ac:dyDescent="0.3">
      <c r="A3" s="75" t="s">
        <v>285</v>
      </c>
      <c r="B3" s="75"/>
      <c r="C3" s="75"/>
      <c r="D3" s="75"/>
      <c r="E3" s="75"/>
      <c r="F3" s="75"/>
      <c r="G3" s="75"/>
      <c r="H3" s="75"/>
      <c r="I3" s="75"/>
      <c r="J3" s="75"/>
    </row>
    <row r="4" spans="1:10" ht="27.6" x14ac:dyDescent="0.3">
      <c r="A4" s="19" t="s">
        <v>237</v>
      </c>
      <c r="B4" s="19" t="s">
        <v>239</v>
      </c>
      <c r="C4" s="19" t="s">
        <v>286</v>
      </c>
      <c r="D4" s="19" t="s">
        <v>287</v>
      </c>
      <c r="E4" s="19" t="s">
        <v>288</v>
      </c>
      <c r="F4" s="19" t="s">
        <v>289</v>
      </c>
      <c r="G4" s="19" t="s">
        <v>290</v>
      </c>
      <c r="H4" s="19" t="s">
        <v>291</v>
      </c>
      <c r="I4" s="19" t="s">
        <v>292</v>
      </c>
      <c r="J4" s="19" t="s">
        <v>193</v>
      </c>
    </row>
    <row r="5" spans="1:10" x14ac:dyDescent="0.3">
      <c r="A5" s="18" t="s">
        <v>254</v>
      </c>
      <c r="B5" s="48">
        <v>50</v>
      </c>
      <c r="C5" s="49">
        <v>35</v>
      </c>
      <c r="D5" s="50">
        <v>0.2</v>
      </c>
      <c r="E5" s="50">
        <v>1.4</v>
      </c>
      <c r="F5" s="38">
        <f>E5-D5</f>
        <v>1.2</v>
      </c>
      <c r="G5" s="51">
        <v>0.05</v>
      </c>
      <c r="H5" s="38">
        <f>F5*(1-G5)</f>
        <v>1.1399999999999999</v>
      </c>
      <c r="I5" s="44">
        <f>H5*B5</f>
        <v>56.999999999999993</v>
      </c>
      <c r="J5" s="6" t="s">
        <v>293</v>
      </c>
    </row>
    <row r="6" spans="1:10" x14ac:dyDescent="0.3">
      <c r="A6" s="18" t="s">
        <v>255</v>
      </c>
      <c r="B6" s="48">
        <v>30</v>
      </c>
      <c r="C6" s="49">
        <v>28</v>
      </c>
      <c r="D6" s="50">
        <v>0.1</v>
      </c>
      <c r="E6" s="50">
        <v>1.1000000000000001</v>
      </c>
      <c r="F6" s="38">
        <f>E6-D6</f>
        <v>1</v>
      </c>
      <c r="G6" s="51">
        <v>0.05</v>
      </c>
      <c r="H6" s="38">
        <f>F6*(1-G6)</f>
        <v>0.95</v>
      </c>
      <c r="I6" s="44">
        <f>H6*B6</f>
        <v>28.5</v>
      </c>
      <c r="J6" s="6" t="s">
        <v>294</v>
      </c>
    </row>
    <row r="7" spans="1:10" x14ac:dyDescent="0.3">
      <c r="A7" s="45" t="s">
        <v>295</v>
      </c>
      <c r="B7" s="46">
        <f>SUM(B5:B6)</f>
        <v>80</v>
      </c>
      <c r="I7" s="47">
        <f>SUM(I5:I6)</f>
        <v>85.5</v>
      </c>
    </row>
    <row r="9" spans="1:10" x14ac:dyDescent="0.3">
      <c r="A9" s="78" t="s">
        <v>296</v>
      </c>
      <c r="B9" s="78"/>
      <c r="C9" s="78"/>
      <c r="D9" s="78"/>
      <c r="E9" s="78"/>
      <c r="F9" s="78"/>
      <c r="G9" s="78"/>
      <c r="H9" s="78"/>
      <c r="I9" s="78"/>
      <c r="J9" s="78"/>
    </row>
    <row r="10" spans="1:10" ht="41.4" x14ac:dyDescent="0.3">
      <c r="A10" s="19" t="s">
        <v>237</v>
      </c>
      <c r="B10" s="19" t="s">
        <v>239</v>
      </c>
      <c r="C10" s="19" t="s">
        <v>297</v>
      </c>
      <c r="D10" s="19" t="s">
        <v>298</v>
      </c>
      <c r="E10" s="19" t="s">
        <v>294</v>
      </c>
      <c r="F10" s="19" t="s">
        <v>299</v>
      </c>
      <c r="G10" s="19" t="s">
        <v>290</v>
      </c>
      <c r="H10" s="19" t="s">
        <v>300</v>
      </c>
      <c r="I10" s="19" t="s">
        <v>301</v>
      </c>
      <c r="J10" s="19" t="s">
        <v>193</v>
      </c>
    </row>
    <row r="11" spans="1:10" x14ac:dyDescent="0.3">
      <c r="A11" s="18" t="s">
        <v>254</v>
      </c>
      <c r="B11" s="48">
        <f>B5</f>
        <v>50</v>
      </c>
      <c r="C11" s="50"/>
      <c r="D11" s="50"/>
      <c r="F11" s="38">
        <f>IF(OR(C11="",D11=""),0,C11-D11)</f>
        <v>0</v>
      </c>
      <c r="G11" s="51">
        <v>0.1</v>
      </c>
      <c r="H11" s="38">
        <f>F11*(1-G11)</f>
        <v>0</v>
      </c>
      <c r="I11" s="44">
        <f>H11*B11</f>
        <v>0</v>
      </c>
      <c r="J11" s="6" t="s">
        <v>302</v>
      </c>
    </row>
    <row r="12" spans="1:10" x14ac:dyDescent="0.3">
      <c r="A12" s="18" t="s">
        <v>255</v>
      </c>
      <c r="B12" s="48">
        <f>B6</f>
        <v>30</v>
      </c>
      <c r="C12" s="50"/>
      <c r="D12" s="50"/>
      <c r="F12" s="38">
        <f>IF(OR(C12="",D12=""),0,C12-D12)</f>
        <v>0</v>
      </c>
      <c r="G12" s="51">
        <v>0.1</v>
      </c>
      <c r="H12" s="38">
        <f>F12*(1-G12)</f>
        <v>0</v>
      </c>
      <c r="I12" s="44">
        <f>H12*B12</f>
        <v>0</v>
      </c>
      <c r="J12" s="6" t="s">
        <v>302</v>
      </c>
    </row>
    <row r="13" spans="1:10" x14ac:dyDescent="0.3">
      <c r="A13" s="45" t="s">
        <v>303</v>
      </c>
      <c r="I13" s="47">
        <f>SUM(I11:I12)</f>
        <v>0</v>
      </c>
    </row>
  </sheetData>
  <mergeCells count="4">
    <mergeCell ref="A1:H1"/>
    <mergeCell ref="A2:H2"/>
    <mergeCell ref="A3:J3"/>
    <mergeCell ref="A9:J9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7"/>
  <sheetViews>
    <sheetView showGridLines="0" workbookViewId="0">
      <pane ySplit="4" topLeftCell="A5" activePane="bottomLeft" state="frozen"/>
      <selection pane="bottomLeft" sqref="A1:H1"/>
    </sheetView>
  </sheetViews>
  <sheetFormatPr defaultRowHeight="14.4" x14ac:dyDescent="0.3"/>
  <cols>
    <col min="1" max="1" width="14" customWidth="1"/>
    <col min="2" max="3" width="15" customWidth="1"/>
    <col min="4" max="4" width="14" customWidth="1"/>
    <col min="5" max="5" width="13" customWidth="1"/>
    <col min="6" max="6" width="11" customWidth="1"/>
    <col min="7" max="7" width="15" customWidth="1"/>
    <col min="8" max="8" width="34" customWidth="1"/>
  </cols>
  <sheetData>
    <row r="1" spans="1:8" ht="28.05" customHeight="1" x14ac:dyDescent="0.3">
      <c r="A1" s="70" t="s">
        <v>304</v>
      </c>
      <c r="B1" s="70"/>
      <c r="C1" s="70"/>
      <c r="D1" s="70"/>
      <c r="E1" s="70"/>
      <c r="F1" s="70"/>
      <c r="G1" s="70"/>
      <c r="H1" s="70"/>
    </row>
    <row r="2" spans="1:8" x14ac:dyDescent="0.3">
      <c r="A2" s="71" t="s">
        <v>305</v>
      </c>
      <c r="B2" s="71"/>
      <c r="C2" s="71"/>
      <c r="D2" s="71"/>
      <c r="E2" s="71"/>
      <c r="F2" s="71"/>
      <c r="G2" s="71"/>
      <c r="H2" s="71"/>
    </row>
    <row r="3" spans="1:8" x14ac:dyDescent="0.3">
      <c r="A3" s="79" t="s">
        <v>306</v>
      </c>
      <c r="B3" s="79"/>
      <c r="C3" s="79"/>
      <c r="D3" s="79"/>
      <c r="E3" s="79"/>
      <c r="F3" s="79"/>
      <c r="G3" s="79"/>
      <c r="H3" s="79"/>
    </row>
    <row r="4" spans="1:8" ht="27.6" x14ac:dyDescent="0.3">
      <c r="A4" s="19" t="s">
        <v>237</v>
      </c>
      <c r="B4" s="19" t="s">
        <v>307</v>
      </c>
      <c r="C4" s="19" t="s">
        <v>308</v>
      </c>
      <c r="D4" s="19" t="s">
        <v>309</v>
      </c>
      <c r="E4" s="19" t="s">
        <v>310</v>
      </c>
      <c r="F4" s="19" t="s">
        <v>311</v>
      </c>
      <c r="G4" s="19" t="s">
        <v>312</v>
      </c>
      <c r="H4" s="19" t="s">
        <v>193</v>
      </c>
    </row>
    <row r="5" spans="1:8" ht="46.2" x14ac:dyDescent="0.3">
      <c r="A5" s="18" t="s">
        <v>254</v>
      </c>
      <c r="B5" s="30" t="e">
        <f>SUMPRODUCT(('Project Inputs'!$A$6:$A$11=A5)*'Project Inputs'!$E$6:$E$11/IF('Project Inputs'!$G$6:$G$11=0,1,'Project Inputs'!$G$6:$G$11))</f>
        <v>#VALUE!</v>
      </c>
      <c r="C5" s="30">
        <f>IFERROR(SUMPRODUCT(('Baseline Inputs'!$A$6:$A$15=A5)*'Baseline Inputs'!$E$6:$E$15/IF('Baseline Inputs'!$G$6:$G$15=0,1,'Baseline Inputs'!$G$6:$G$15))/MAX(1,COUNTIF('Baseline Inputs'!$A$6:$A$15,A5)),0)</f>
        <v>0</v>
      </c>
      <c r="D5" s="36" t="e">
        <f>MAX(0,B5-C5)</f>
        <v>#VALUE!</v>
      </c>
      <c r="E5" s="52">
        <v>0.3</v>
      </c>
      <c r="F5" s="53" t="s">
        <v>134</v>
      </c>
      <c r="G5" s="54" t="e">
        <f>IF(F5="yes",0,D5*E5*0.12*(44/12))</f>
        <v>#VALUE!</v>
      </c>
      <c r="H5" s="55" t="s">
        <v>313</v>
      </c>
    </row>
    <row r="6" spans="1:8" ht="46.2" x14ac:dyDescent="0.3">
      <c r="A6" s="18" t="s">
        <v>255</v>
      </c>
      <c r="B6" s="30" t="e">
        <f>SUMPRODUCT(('Project Inputs'!$A$6:$A$11=A6)*'Project Inputs'!$E$6:$E$11/IF('Project Inputs'!$G$6:$G$11=0,1,'Project Inputs'!$G$6:$G$11))</f>
        <v>#DIV/0!</v>
      </c>
      <c r="C6" s="30">
        <f>IFERROR(SUMPRODUCT(('Baseline Inputs'!$A$6:$A$15=A6)*'Baseline Inputs'!$E$6:$E$15/IF('Baseline Inputs'!$G$6:$G$15=0,1,'Baseline Inputs'!$G$6:$G$15))/MAX(1,COUNTIF('Baseline Inputs'!$A$6:$A$15,A6)),0)</f>
        <v>0</v>
      </c>
      <c r="D6" s="36" t="e">
        <f>MAX(0,B6-C6)</f>
        <v>#DIV/0!</v>
      </c>
      <c r="E6" s="52">
        <v>0.3</v>
      </c>
      <c r="F6" s="53" t="s">
        <v>134</v>
      </c>
      <c r="G6" s="54" t="e">
        <f>IF(F6="yes",0,D6*E6*0.12*(44/12))</f>
        <v>#DIV/0!</v>
      </c>
      <c r="H6" s="55" t="s">
        <v>313</v>
      </c>
    </row>
    <row r="7" spans="1:8" x14ac:dyDescent="0.3">
      <c r="A7" s="45" t="s">
        <v>314</v>
      </c>
      <c r="G7" s="56" t="e">
        <f>SUM(G5:G6)</f>
        <v>#VALUE!</v>
      </c>
    </row>
    <row r="9" spans="1:8" x14ac:dyDescent="0.3">
      <c r="A9" s="79" t="s">
        <v>315</v>
      </c>
      <c r="B9" s="79"/>
      <c r="C9" s="79"/>
      <c r="D9" s="79"/>
      <c r="E9" s="79"/>
      <c r="F9" s="79"/>
      <c r="G9" s="79"/>
      <c r="H9" s="79"/>
    </row>
    <row r="10" spans="1:8" ht="27.6" x14ac:dyDescent="0.3">
      <c r="A10" s="19" t="s">
        <v>316</v>
      </c>
      <c r="B10" s="19" t="s">
        <v>294</v>
      </c>
      <c r="C10" s="19" t="s">
        <v>294</v>
      </c>
      <c r="D10" s="19" t="s">
        <v>294</v>
      </c>
      <c r="E10" s="19" t="s">
        <v>294</v>
      </c>
      <c r="F10" s="19" t="s">
        <v>294</v>
      </c>
      <c r="G10" s="19" t="s">
        <v>317</v>
      </c>
      <c r="H10" s="19" t="s">
        <v>318</v>
      </c>
    </row>
    <row r="11" spans="1:8" x14ac:dyDescent="0.3">
      <c r="A11" s="80" t="s">
        <v>319</v>
      </c>
      <c r="B11" s="80"/>
      <c r="C11" s="80"/>
      <c r="D11" s="80"/>
      <c r="E11" s="80"/>
      <c r="F11" s="80"/>
      <c r="G11" s="57">
        <v>0</v>
      </c>
      <c r="H11" s="55" t="s">
        <v>320</v>
      </c>
    </row>
    <row r="12" spans="1:8" ht="23.4" x14ac:dyDescent="0.3">
      <c r="A12" s="80" t="s">
        <v>321</v>
      </c>
      <c r="B12" s="80"/>
      <c r="C12" s="80"/>
      <c r="D12" s="80"/>
      <c r="E12" s="80"/>
      <c r="F12" s="80"/>
      <c r="G12" s="57">
        <v>0</v>
      </c>
      <c r="H12" s="55" t="s">
        <v>322</v>
      </c>
    </row>
    <row r="13" spans="1:8" ht="23.4" x14ac:dyDescent="0.3">
      <c r="A13" s="80" t="s">
        <v>323</v>
      </c>
      <c r="B13" s="80"/>
      <c r="C13" s="80"/>
      <c r="D13" s="80"/>
      <c r="E13" s="80"/>
      <c r="F13" s="80"/>
      <c r="G13" s="57">
        <v>0</v>
      </c>
      <c r="H13" s="55" t="s">
        <v>324</v>
      </c>
    </row>
    <row r="15" spans="1:8" x14ac:dyDescent="0.3">
      <c r="A15" s="79" t="s">
        <v>325</v>
      </c>
      <c r="B15" s="79"/>
      <c r="C15" s="79"/>
      <c r="D15" s="79"/>
      <c r="E15" s="79"/>
      <c r="F15" s="79"/>
      <c r="G15" s="79"/>
      <c r="H15" s="79"/>
    </row>
    <row r="16" spans="1:8" x14ac:dyDescent="0.3">
      <c r="A16" s="81" t="s">
        <v>326</v>
      </c>
      <c r="B16" s="81"/>
      <c r="C16" s="81"/>
      <c r="D16" s="81"/>
      <c r="E16" s="81"/>
      <c r="F16" s="81"/>
      <c r="G16" s="56">
        <f>G11+G12+G13</f>
        <v>0</v>
      </c>
      <c r="H16" s="55" t="s">
        <v>327</v>
      </c>
    </row>
    <row r="17" spans="1:8" ht="23.4" x14ac:dyDescent="0.3">
      <c r="A17" s="81" t="s">
        <v>328</v>
      </c>
      <c r="B17" s="81"/>
      <c r="C17" s="81"/>
      <c r="D17" s="81"/>
      <c r="E17" s="81"/>
      <c r="F17" s="81"/>
      <c r="G17" s="56" t="e">
        <f>G7</f>
        <v>#VALUE!</v>
      </c>
      <c r="H17" s="55" t="s">
        <v>329</v>
      </c>
    </row>
  </sheetData>
  <mergeCells count="10">
    <mergeCell ref="A12:F12"/>
    <mergeCell ref="A13:F13"/>
    <mergeCell ref="A15:H15"/>
    <mergeCell ref="A16:F16"/>
    <mergeCell ref="A17:F17"/>
    <mergeCell ref="A1:H1"/>
    <mergeCell ref="A2:H2"/>
    <mergeCell ref="A3:H3"/>
    <mergeCell ref="A9:H9"/>
    <mergeCell ref="A11:F11"/>
  </mergeCells>
  <dataValidations count="1">
    <dataValidation type="list" sqref="F5:F6" xr:uid="{00000000-0002-0000-0B00-000000000000}">
      <formula1>"no,yes"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2"/>
  <sheetViews>
    <sheetView showGridLines="0" tabSelected="1" topLeftCell="A3" workbookViewId="0">
      <pane activePane="bottomRight" state="frozen"/>
      <selection sqref="A1:H1"/>
    </sheetView>
  </sheetViews>
  <sheetFormatPr defaultRowHeight="14.4" x14ac:dyDescent="0.3"/>
  <cols>
    <col min="1" max="1" width="3" customWidth="1"/>
    <col min="2" max="2" width="38" customWidth="1"/>
    <col min="3" max="3" width="22" customWidth="1"/>
    <col min="4" max="4" width="16" customWidth="1"/>
    <col min="5" max="5" width="40" customWidth="1"/>
  </cols>
  <sheetData>
    <row r="1" spans="1:8" ht="28.05" customHeight="1" x14ac:dyDescent="0.3">
      <c r="A1" s="70" t="s">
        <v>330</v>
      </c>
      <c r="B1" s="70"/>
      <c r="C1" s="70"/>
      <c r="D1" s="70"/>
      <c r="E1" s="70"/>
      <c r="F1" s="70"/>
      <c r="G1" s="70"/>
      <c r="H1" s="70"/>
    </row>
    <row r="2" spans="1:8" x14ac:dyDescent="0.3">
      <c r="A2" s="71" t="s">
        <v>331</v>
      </c>
      <c r="B2" s="71"/>
      <c r="C2" s="71"/>
      <c r="D2" s="71"/>
      <c r="E2" s="71"/>
      <c r="F2" s="71"/>
      <c r="G2" s="71"/>
      <c r="H2" s="71"/>
    </row>
    <row r="4" spans="1:8" ht="15.6" x14ac:dyDescent="0.3">
      <c r="B4" s="72" t="s">
        <v>332</v>
      </c>
      <c r="C4" s="72"/>
      <c r="D4" s="72"/>
      <c r="E4" s="72"/>
    </row>
    <row r="5" spans="1:8" x14ac:dyDescent="0.3">
      <c r="B5" s="45" t="s">
        <v>333</v>
      </c>
      <c r="C5" s="13" t="s">
        <v>4</v>
      </c>
    </row>
    <row r="6" spans="1:8" x14ac:dyDescent="0.3">
      <c r="B6" s="45" t="s">
        <v>10</v>
      </c>
      <c r="C6" t="s">
        <v>334</v>
      </c>
    </row>
    <row r="7" spans="1:8" x14ac:dyDescent="0.3">
      <c r="B7" s="45" t="s">
        <v>335</v>
      </c>
      <c r="C7" s="13" t="s">
        <v>4</v>
      </c>
    </row>
    <row r="9" spans="1:8" ht="15.6" x14ac:dyDescent="0.3">
      <c r="B9" s="72" t="s">
        <v>336</v>
      </c>
      <c r="C9" s="72"/>
      <c r="D9" s="72"/>
      <c r="E9" s="72"/>
    </row>
    <row r="10" spans="1:8" ht="15.6" x14ac:dyDescent="0.3">
      <c r="B10" s="58" t="s">
        <v>337</v>
      </c>
      <c r="C10" s="59">
        <f>COUNTA('Net Reductions'!A4:A5)</f>
        <v>2</v>
      </c>
      <c r="D10" s="60" t="s">
        <v>338</v>
      </c>
      <c r="E10" s="6" t="s">
        <v>339</v>
      </c>
    </row>
    <row r="11" spans="1:8" ht="15.6" x14ac:dyDescent="0.3">
      <c r="B11" s="58" t="s">
        <v>340</v>
      </c>
      <c r="C11" s="61">
        <f>'Net Reductions'!B6</f>
        <v>80</v>
      </c>
      <c r="D11" s="60" t="s">
        <v>341</v>
      </c>
    </row>
    <row r="12" spans="1:8" ht="15.6" x14ac:dyDescent="0.3">
      <c r="B12" s="58" t="s">
        <v>342</v>
      </c>
      <c r="C12" s="61">
        <f>SUMPRODUCT('Net Reductions'!C4:C5,'Net Reductions'!B4:B5)</f>
        <v>200.77314969047617</v>
      </c>
      <c r="D12" s="60" t="s">
        <v>343</v>
      </c>
      <c r="E12" s="6" t="s">
        <v>344</v>
      </c>
    </row>
    <row r="13" spans="1:8" ht="15.6" x14ac:dyDescent="0.3">
      <c r="B13" s="58" t="s">
        <v>345</v>
      </c>
      <c r="C13" s="61">
        <f>SUMPRODUCT('Net Reductions'!D4:D5,'Net Reductions'!B4:B5)</f>
        <v>154.35231428571427</v>
      </c>
      <c r="D13" s="60" t="s">
        <v>343</v>
      </c>
    </row>
    <row r="15" spans="1:8" ht="15.6" x14ac:dyDescent="0.3">
      <c r="B15" s="72" t="s">
        <v>346</v>
      </c>
      <c r="C15" s="72"/>
      <c r="D15" s="72"/>
      <c r="E15" s="72"/>
    </row>
    <row r="16" spans="1:8" ht="15.6" x14ac:dyDescent="0.3">
      <c r="B16" s="58" t="s">
        <v>347</v>
      </c>
      <c r="C16" s="61">
        <f>'Net Reductions'!F6</f>
        <v>46.420835404761917</v>
      </c>
      <c r="D16" s="60" t="s">
        <v>343</v>
      </c>
      <c r="E16" s="6" t="s">
        <v>348</v>
      </c>
    </row>
    <row r="17" spans="2:5" ht="15.6" x14ac:dyDescent="0.3">
      <c r="B17" s="58" t="s">
        <v>349</v>
      </c>
      <c r="C17" s="61">
        <f>'SOC Removals (QA1)'!I13</f>
        <v>0</v>
      </c>
      <c r="D17" s="60" t="s">
        <v>343</v>
      </c>
      <c r="E17" s="6" t="s">
        <v>350</v>
      </c>
    </row>
    <row r="18" spans="2:5" ht="15.6" x14ac:dyDescent="0.3">
      <c r="B18" s="58" t="s">
        <v>351</v>
      </c>
      <c r="C18" s="61">
        <f>Leakage!$G$16</f>
        <v>0</v>
      </c>
      <c r="D18" s="60" t="s">
        <v>343</v>
      </c>
      <c r="E18" s="6" t="s">
        <v>352</v>
      </c>
    </row>
    <row r="19" spans="2:5" ht="15.6" x14ac:dyDescent="0.3">
      <c r="B19" s="58" t="s">
        <v>353</v>
      </c>
      <c r="C19" s="61">
        <f>C16+C17-C18</f>
        <v>46.420835404761917</v>
      </c>
      <c r="D19" s="60" t="s">
        <v>343</v>
      </c>
      <c r="E19" s="6" t="s">
        <v>354</v>
      </c>
    </row>
    <row r="21" spans="2:5" ht="15.6" x14ac:dyDescent="0.3">
      <c r="B21" s="72" t="s">
        <v>355</v>
      </c>
      <c r="C21" s="72"/>
      <c r="D21" s="72"/>
      <c r="E21" s="72"/>
    </row>
    <row r="22" spans="2:5" ht="15.6" x14ac:dyDescent="0.3">
      <c r="B22" s="58" t="s">
        <v>356</v>
      </c>
      <c r="C22" s="61">
        <f>'SOC Removals (QA1)'!I7</f>
        <v>85.5</v>
      </c>
      <c r="D22" s="60" t="s">
        <v>343</v>
      </c>
      <c r="E22" s="6" t="s">
        <v>357</v>
      </c>
    </row>
    <row r="23" spans="2:5" ht="15.6" x14ac:dyDescent="0.3">
      <c r="B23" s="58" t="s">
        <v>358</v>
      </c>
      <c r="C23" s="61" t="e">
        <f>Leakage!$G$17</f>
        <v>#VALUE!</v>
      </c>
      <c r="D23" s="60" t="s">
        <v>343</v>
      </c>
      <c r="E23" s="6" t="s">
        <v>359</v>
      </c>
    </row>
    <row r="24" spans="2:5" ht="15.6" x14ac:dyDescent="0.3">
      <c r="B24" s="58" t="s">
        <v>360</v>
      </c>
      <c r="C24" s="61" t="e">
        <f>C22-C23</f>
        <v>#VALUE!</v>
      </c>
      <c r="D24" s="60" t="s">
        <v>343</v>
      </c>
    </row>
    <row r="26" spans="2:5" ht="15.6" x14ac:dyDescent="0.3">
      <c r="B26" s="72" t="s">
        <v>361</v>
      </c>
      <c r="C26" s="72"/>
      <c r="D26" s="72"/>
      <c r="E26" s="72"/>
    </row>
    <row r="27" spans="2:5" ht="36.6" x14ac:dyDescent="0.3">
      <c r="B27" s="62" t="s">
        <v>362</v>
      </c>
      <c r="C27" s="63">
        <v>0</v>
      </c>
      <c r="D27" t="s">
        <v>363</v>
      </c>
      <c r="E27" s="64" t="s">
        <v>364</v>
      </c>
    </row>
    <row r="28" spans="2:5" x14ac:dyDescent="0.3">
      <c r="B28" s="62" t="s">
        <v>365</v>
      </c>
      <c r="C28" s="65">
        <v>0</v>
      </c>
      <c r="D28" t="s">
        <v>343</v>
      </c>
    </row>
    <row r="29" spans="2:5" ht="15.6" x14ac:dyDescent="0.3">
      <c r="B29" s="58" t="s">
        <v>366</v>
      </c>
      <c r="C29" s="61" t="e">
        <f>C19+C24</f>
        <v>#VALUE!</v>
      </c>
      <c r="D29" s="60" t="s">
        <v>343</v>
      </c>
    </row>
    <row r="30" spans="2:5" ht="15.6" x14ac:dyDescent="0.3">
      <c r="B30" s="58" t="s">
        <v>367</v>
      </c>
      <c r="C30" s="61" t="e">
        <f>-C24*C27</f>
        <v>#VALUE!</v>
      </c>
      <c r="D30" s="60" t="s">
        <v>343</v>
      </c>
      <c r="E30" s="6" t="s">
        <v>368</v>
      </c>
    </row>
    <row r="31" spans="2:5" ht="15.6" x14ac:dyDescent="0.3">
      <c r="B31" s="58" t="s">
        <v>369</v>
      </c>
      <c r="C31" s="61">
        <f>-C28</f>
        <v>0</v>
      </c>
      <c r="D31" s="60" t="s">
        <v>343</v>
      </c>
    </row>
    <row r="32" spans="2:5" ht="22.05" customHeight="1" x14ac:dyDescent="0.35">
      <c r="B32" s="62" t="s">
        <v>370</v>
      </c>
      <c r="C32" s="66" t="e">
        <f>C29+C30+C31</f>
        <v>#VALUE!</v>
      </c>
      <c r="D32" s="60" t="s">
        <v>371</v>
      </c>
      <c r="E32" s="6" t="s">
        <v>372</v>
      </c>
    </row>
  </sheetData>
  <mergeCells count="7">
    <mergeCell ref="B21:E21"/>
    <mergeCell ref="B26:E26"/>
    <mergeCell ref="A1:H1"/>
    <mergeCell ref="A2:H2"/>
    <mergeCell ref="B4:E4"/>
    <mergeCell ref="B9:E9"/>
    <mergeCell ref="B15:E15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8"/>
  <sheetViews>
    <sheetView showGridLines="0"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1" width="18" customWidth="1"/>
    <col min="2" max="2" width="30" customWidth="1"/>
    <col min="3" max="3" width="16" customWidth="1"/>
    <col min="4" max="4" width="12" customWidth="1"/>
    <col min="5" max="5" width="52" customWidth="1"/>
    <col min="6" max="6" width="30" customWidth="1"/>
  </cols>
  <sheetData>
    <row r="1" spans="1:8" ht="28.05" customHeight="1" x14ac:dyDescent="0.3">
      <c r="A1" s="70" t="s">
        <v>373</v>
      </c>
      <c r="B1" s="70"/>
      <c r="C1" s="70"/>
      <c r="D1" s="70"/>
      <c r="E1" s="70"/>
      <c r="F1" s="70"/>
      <c r="G1" s="70"/>
      <c r="H1" s="70"/>
    </row>
    <row r="2" spans="1:8" x14ac:dyDescent="0.3">
      <c r="A2" s="71" t="s">
        <v>374</v>
      </c>
      <c r="B2" s="71"/>
      <c r="C2" s="71"/>
      <c r="D2" s="71"/>
      <c r="E2" s="71"/>
      <c r="F2" s="71"/>
      <c r="G2" s="71"/>
      <c r="H2" s="71"/>
    </row>
    <row r="3" spans="1:8" x14ac:dyDescent="0.3">
      <c r="A3" s="19" t="s">
        <v>375</v>
      </c>
      <c r="B3" s="19" t="s">
        <v>247</v>
      </c>
      <c r="C3" s="19" t="s">
        <v>127</v>
      </c>
      <c r="D3" s="19" t="s">
        <v>110</v>
      </c>
      <c r="E3" s="19" t="s">
        <v>376</v>
      </c>
      <c r="F3" s="19" t="s">
        <v>377</v>
      </c>
    </row>
    <row r="4" spans="1:8" x14ac:dyDescent="0.3">
      <c r="A4" s="67" t="s">
        <v>378</v>
      </c>
      <c r="B4" s="3" t="s">
        <v>379</v>
      </c>
      <c r="C4" s="3" t="s">
        <v>341</v>
      </c>
      <c r="D4" s="3" t="s">
        <v>380</v>
      </c>
      <c r="E4" s="3" t="s">
        <v>381</v>
      </c>
      <c r="F4" s="3" t="s">
        <v>382</v>
      </c>
    </row>
    <row r="5" spans="1:8" ht="27.6" x14ac:dyDescent="0.3">
      <c r="A5" s="67" t="s">
        <v>383</v>
      </c>
      <c r="B5" s="3" t="s">
        <v>384</v>
      </c>
      <c r="C5" s="3" t="s">
        <v>385</v>
      </c>
      <c r="D5" s="3" t="s">
        <v>144</v>
      </c>
      <c r="E5" s="3" t="s">
        <v>386</v>
      </c>
      <c r="F5" s="3" t="s">
        <v>387</v>
      </c>
    </row>
    <row r="6" spans="1:8" x14ac:dyDescent="0.3">
      <c r="A6" s="67" t="s">
        <v>388</v>
      </c>
      <c r="B6" s="3" t="s">
        <v>389</v>
      </c>
      <c r="C6" s="3" t="s">
        <v>143</v>
      </c>
      <c r="D6" s="3" t="s">
        <v>144</v>
      </c>
      <c r="E6" s="3" t="s">
        <v>390</v>
      </c>
      <c r="F6" s="3" t="s">
        <v>391</v>
      </c>
    </row>
    <row r="7" spans="1:8" x14ac:dyDescent="0.3">
      <c r="A7" s="67" t="s">
        <v>392</v>
      </c>
      <c r="B7" s="3" t="s">
        <v>393</v>
      </c>
      <c r="C7" s="3" t="s">
        <v>394</v>
      </c>
      <c r="D7" s="3" t="s">
        <v>395</v>
      </c>
      <c r="E7" s="3" t="s">
        <v>396</v>
      </c>
      <c r="F7" s="3" t="s">
        <v>397</v>
      </c>
    </row>
    <row r="8" spans="1:8" ht="27.6" x14ac:dyDescent="0.3">
      <c r="A8" s="67" t="s">
        <v>398</v>
      </c>
      <c r="B8" s="3" t="s">
        <v>399</v>
      </c>
      <c r="C8" s="3" t="s">
        <v>400</v>
      </c>
      <c r="D8" s="3" t="s">
        <v>395</v>
      </c>
      <c r="E8" s="3" t="s">
        <v>401</v>
      </c>
      <c r="F8" s="3" t="s">
        <v>402</v>
      </c>
    </row>
    <row r="9" spans="1:8" x14ac:dyDescent="0.3">
      <c r="A9" s="67" t="s">
        <v>403</v>
      </c>
      <c r="B9" s="3" t="s">
        <v>404</v>
      </c>
      <c r="C9" s="3" t="s">
        <v>394</v>
      </c>
      <c r="D9" s="3" t="s">
        <v>405</v>
      </c>
      <c r="E9" s="3" t="s">
        <v>406</v>
      </c>
      <c r="F9" s="3" t="s">
        <v>407</v>
      </c>
    </row>
    <row r="10" spans="1:8" x14ac:dyDescent="0.3">
      <c r="A10" s="67" t="s">
        <v>408</v>
      </c>
      <c r="B10" s="3" t="s">
        <v>409</v>
      </c>
      <c r="C10" s="3" t="s">
        <v>400</v>
      </c>
      <c r="D10" s="3" t="s">
        <v>405</v>
      </c>
      <c r="E10" s="3" t="s">
        <v>410</v>
      </c>
      <c r="F10" s="3" t="s">
        <v>411</v>
      </c>
    </row>
    <row r="11" spans="1:8" ht="27.6" x14ac:dyDescent="0.3">
      <c r="A11" s="67" t="s">
        <v>412</v>
      </c>
      <c r="B11" s="3" t="s">
        <v>413</v>
      </c>
      <c r="C11" s="3" t="s">
        <v>414</v>
      </c>
      <c r="D11" s="3" t="s">
        <v>405</v>
      </c>
      <c r="E11" s="3" t="s">
        <v>415</v>
      </c>
      <c r="F11" s="3" t="s">
        <v>416</v>
      </c>
    </row>
    <row r="12" spans="1:8" x14ac:dyDescent="0.3">
      <c r="A12" s="67" t="s">
        <v>417</v>
      </c>
      <c r="B12" s="3" t="s">
        <v>418</v>
      </c>
      <c r="C12" s="3" t="s">
        <v>419</v>
      </c>
      <c r="D12" s="3" t="s">
        <v>420</v>
      </c>
      <c r="E12" s="3" t="s">
        <v>421</v>
      </c>
      <c r="F12" s="3" t="s">
        <v>422</v>
      </c>
    </row>
    <row r="13" spans="1:8" x14ac:dyDescent="0.3">
      <c r="A13" s="67" t="s">
        <v>423</v>
      </c>
      <c r="B13" s="3" t="s">
        <v>424</v>
      </c>
      <c r="C13" s="3" t="s">
        <v>419</v>
      </c>
      <c r="D13" s="3" t="s">
        <v>425</v>
      </c>
      <c r="E13" s="3" t="s">
        <v>426</v>
      </c>
      <c r="F13" s="3" t="s">
        <v>422</v>
      </c>
    </row>
    <row r="14" spans="1:8" ht="27.6" x14ac:dyDescent="0.3">
      <c r="A14" s="67" t="s">
        <v>427</v>
      </c>
      <c r="B14" s="3" t="s">
        <v>428</v>
      </c>
      <c r="C14" s="3" t="s">
        <v>152</v>
      </c>
      <c r="D14" s="3" t="s">
        <v>153</v>
      </c>
      <c r="E14" s="3" t="s">
        <v>429</v>
      </c>
      <c r="F14" s="3" t="s">
        <v>430</v>
      </c>
    </row>
    <row r="15" spans="1:8" x14ac:dyDescent="0.3">
      <c r="A15" s="67" t="s">
        <v>163</v>
      </c>
      <c r="B15" s="3" t="s">
        <v>431</v>
      </c>
      <c r="C15" s="3" t="s">
        <v>432</v>
      </c>
      <c r="D15" s="3" t="s">
        <v>165</v>
      </c>
      <c r="E15" s="3" t="s">
        <v>433</v>
      </c>
      <c r="F15" s="3" t="s">
        <v>434</v>
      </c>
    </row>
    <row r="16" spans="1:8" x14ac:dyDescent="0.3">
      <c r="A16" s="67" t="s">
        <v>167</v>
      </c>
      <c r="B16" s="3" t="s">
        <v>435</v>
      </c>
      <c r="C16" s="3" t="s">
        <v>432</v>
      </c>
      <c r="D16" s="3" t="s">
        <v>165</v>
      </c>
      <c r="E16" s="3" t="s">
        <v>436</v>
      </c>
      <c r="F16" s="3" t="s">
        <v>434</v>
      </c>
    </row>
    <row r="17" spans="1:6" x14ac:dyDescent="0.3">
      <c r="A17" s="67" t="s">
        <v>169</v>
      </c>
      <c r="B17" s="3" t="s">
        <v>437</v>
      </c>
      <c r="C17" s="3" t="s">
        <v>152</v>
      </c>
      <c r="D17" s="3" t="s">
        <v>165</v>
      </c>
      <c r="E17" s="3" t="s">
        <v>438</v>
      </c>
      <c r="F17" s="3" t="s">
        <v>434</v>
      </c>
    </row>
    <row r="18" spans="1:6" x14ac:dyDescent="0.3">
      <c r="A18" s="67" t="s">
        <v>439</v>
      </c>
      <c r="B18" s="3" t="s">
        <v>440</v>
      </c>
      <c r="C18" s="3" t="s">
        <v>432</v>
      </c>
      <c r="D18" s="3" t="s">
        <v>172</v>
      </c>
      <c r="E18" s="3" t="s">
        <v>441</v>
      </c>
      <c r="F18" s="3" t="s">
        <v>434</v>
      </c>
    </row>
    <row r="19" spans="1:6" x14ac:dyDescent="0.3">
      <c r="A19" s="67" t="s">
        <v>176</v>
      </c>
      <c r="B19" s="3" t="s">
        <v>442</v>
      </c>
      <c r="C19" s="3" t="s">
        <v>152</v>
      </c>
      <c r="D19" s="3" t="s">
        <v>172</v>
      </c>
      <c r="E19" s="3" t="s">
        <v>443</v>
      </c>
      <c r="F19" s="3" t="s">
        <v>434</v>
      </c>
    </row>
    <row r="20" spans="1:6" x14ac:dyDescent="0.3">
      <c r="A20" s="67" t="s">
        <v>147</v>
      </c>
      <c r="B20" s="3" t="s">
        <v>444</v>
      </c>
      <c r="C20" s="3" t="s">
        <v>148</v>
      </c>
      <c r="D20" s="3" t="s">
        <v>149</v>
      </c>
      <c r="E20" s="3" t="s">
        <v>445</v>
      </c>
      <c r="F20" s="3" t="s">
        <v>446</v>
      </c>
    </row>
    <row r="21" spans="1:6" x14ac:dyDescent="0.3">
      <c r="A21" s="67" t="s">
        <v>447</v>
      </c>
      <c r="B21" s="3" t="s">
        <v>448</v>
      </c>
      <c r="C21" s="3" t="s">
        <v>432</v>
      </c>
      <c r="D21" s="3" t="s">
        <v>449</v>
      </c>
      <c r="E21" s="3" t="s">
        <v>450</v>
      </c>
      <c r="F21" s="3" t="s">
        <v>451</v>
      </c>
    </row>
    <row r="22" spans="1:6" x14ac:dyDescent="0.3">
      <c r="A22" s="67" t="s">
        <v>452</v>
      </c>
      <c r="B22" s="3" t="s">
        <v>453</v>
      </c>
      <c r="C22" s="3" t="s">
        <v>454</v>
      </c>
      <c r="D22" s="3" t="s">
        <v>62</v>
      </c>
      <c r="E22" s="3" t="s">
        <v>455</v>
      </c>
      <c r="F22" s="3" t="s">
        <v>456</v>
      </c>
    </row>
    <row r="23" spans="1:6" x14ac:dyDescent="0.3">
      <c r="A23" s="67" t="s">
        <v>457</v>
      </c>
      <c r="B23" s="3" t="s">
        <v>458</v>
      </c>
      <c r="C23" s="3" t="s">
        <v>432</v>
      </c>
      <c r="D23" s="3" t="s">
        <v>62</v>
      </c>
      <c r="E23" s="3" t="s">
        <v>459</v>
      </c>
      <c r="F23" s="3" t="s">
        <v>460</v>
      </c>
    </row>
    <row r="24" spans="1:6" x14ac:dyDescent="0.3">
      <c r="A24" s="67" t="s">
        <v>461</v>
      </c>
      <c r="B24" s="3" t="s">
        <v>462</v>
      </c>
      <c r="C24" s="3" t="s">
        <v>182</v>
      </c>
      <c r="D24" s="3" t="s">
        <v>62</v>
      </c>
      <c r="E24" s="3" t="s">
        <v>463</v>
      </c>
      <c r="F24" s="3" t="s">
        <v>464</v>
      </c>
    </row>
    <row r="25" spans="1:6" ht="27.6" x14ac:dyDescent="0.3">
      <c r="A25" s="67" t="s">
        <v>465</v>
      </c>
      <c r="B25" s="3" t="s">
        <v>466</v>
      </c>
      <c r="C25" s="3" t="s">
        <v>419</v>
      </c>
      <c r="D25" s="3" t="s">
        <v>467</v>
      </c>
      <c r="E25" s="3" t="s">
        <v>468</v>
      </c>
      <c r="F25" s="3" t="s">
        <v>469</v>
      </c>
    </row>
    <row r="26" spans="1:6" x14ac:dyDescent="0.3">
      <c r="A26" s="67" t="s">
        <v>470</v>
      </c>
      <c r="B26" s="3" t="s">
        <v>471</v>
      </c>
      <c r="C26" s="3" t="s">
        <v>472</v>
      </c>
      <c r="D26" s="3" t="s">
        <v>473</v>
      </c>
      <c r="E26" s="3" t="s">
        <v>474</v>
      </c>
      <c r="F26" s="3" t="s">
        <v>422</v>
      </c>
    </row>
    <row r="27" spans="1:6" x14ac:dyDescent="0.3">
      <c r="A27" s="67" t="s">
        <v>475</v>
      </c>
      <c r="B27" s="3" t="s">
        <v>476</v>
      </c>
      <c r="C27" s="3" t="s">
        <v>472</v>
      </c>
      <c r="D27" s="3" t="s">
        <v>477</v>
      </c>
      <c r="E27" s="3" t="s">
        <v>478</v>
      </c>
      <c r="F27" s="3" t="s">
        <v>422</v>
      </c>
    </row>
    <row r="28" spans="1:6" x14ac:dyDescent="0.3">
      <c r="A28" s="67" t="s">
        <v>479</v>
      </c>
      <c r="B28" s="3" t="s">
        <v>353</v>
      </c>
      <c r="C28" s="3" t="s">
        <v>343</v>
      </c>
      <c r="D28" s="3" t="s">
        <v>72</v>
      </c>
      <c r="E28" s="3" t="s">
        <v>480</v>
      </c>
      <c r="F28" s="3" t="s">
        <v>422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68BB2-7648-4EE6-8094-F87396430CA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0"/>
  <sheetViews>
    <sheetView showGridLines="0"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1" width="8" customWidth="1"/>
    <col min="2" max="2" width="64" customWidth="1"/>
    <col min="3" max="3" width="60" customWidth="1"/>
  </cols>
  <sheetData>
    <row r="1" spans="1:8" ht="28.05" customHeight="1" x14ac:dyDescent="0.3">
      <c r="A1" s="70" t="s">
        <v>481</v>
      </c>
      <c r="B1" s="70"/>
      <c r="C1" s="70"/>
      <c r="D1" s="70"/>
      <c r="E1" s="70"/>
      <c r="F1" s="70"/>
      <c r="G1" s="70"/>
      <c r="H1" s="70"/>
    </row>
    <row r="2" spans="1:8" x14ac:dyDescent="0.3">
      <c r="A2" s="71" t="s">
        <v>482</v>
      </c>
      <c r="B2" s="71"/>
      <c r="C2" s="71"/>
      <c r="D2" s="71"/>
      <c r="E2" s="71"/>
      <c r="F2" s="71"/>
      <c r="G2" s="71"/>
      <c r="H2" s="71"/>
    </row>
    <row r="3" spans="1:8" x14ac:dyDescent="0.3">
      <c r="A3" s="19" t="s">
        <v>128</v>
      </c>
      <c r="B3" s="19" t="s">
        <v>483</v>
      </c>
      <c r="C3" s="19" t="s">
        <v>484</v>
      </c>
    </row>
    <row r="4" spans="1:8" ht="28.05" customHeight="1" x14ac:dyDescent="0.3">
      <c r="A4" s="68" t="s">
        <v>477</v>
      </c>
      <c r="B4" s="69" t="s">
        <v>485</v>
      </c>
      <c r="C4" s="3" t="s">
        <v>486</v>
      </c>
    </row>
    <row r="5" spans="1:8" ht="28.05" customHeight="1" x14ac:dyDescent="0.3">
      <c r="A5" s="68" t="s">
        <v>144</v>
      </c>
      <c r="B5" s="69" t="s">
        <v>487</v>
      </c>
      <c r="C5" s="3" t="s">
        <v>488</v>
      </c>
    </row>
    <row r="6" spans="1:8" ht="28.05" customHeight="1" x14ac:dyDescent="0.3">
      <c r="A6" s="68" t="s">
        <v>489</v>
      </c>
      <c r="B6" s="69" t="s">
        <v>490</v>
      </c>
      <c r="C6" s="3" t="s">
        <v>491</v>
      </c>
    </row>
    <row r="7" spans="1:8" ht="28.05" customHeight="1" x14ac:dyDescent="0.3">
      <c r="A7" s="68" t="s">
        <v>473</v>
      </c>
      <c r="B7" s="69" t="s">
        <v>492</v>
      </c>
      <c r="C7" s="3" t="s">
        <v>493</v>
      </c>
    </row>
    <row r="8" spans="1:8" ht="28.05" customHeight="1" x14ac:dyDescent="0.3">
      <c r="A8" s="68" t="s">
        <v>494</v>
      </c>
      <c r="B8" s="69" t="s">
        <v>495</v>
      </c>
      <c r="C8" s="3" t="s">
        <v>496</v>
      </c>
    </row>
    <row r="9" spans="1:8" ht="28.05" customHeight="1" x14ac:dyDescent="0.3">
      <c r="A9" s="68" t="s">
        <v>395</v>
      </c>
      <c r="B9" s="69" t="s">
        <v>497</v>
      </c>
      <c r="C9" s="3" t="s">
        <v>498</v>
      </c>
    </row>
    <row r="10" spans="1:8" ht="28.05" customHeight="1" x14ac:dyDescent="0.3">
      <c r="A10" s="68" t="s">
        <v>405</v>
      </c>
      <c r="B10" s="69" t="s">
        <v>499</v>
      </c>
      <c r="C10" s="3" t="s">
        <v>500</v>
      </c>
    </row>
    <row r="11" spans="1:8" ht="28.05" customHeight="1" x14ac:dyDescent="0.3">
      <c r="A11" s="68" t="s">
        <v>501</v>
      </c>
      <c r="B11" s="69" t="s">
        <v>502</v>
      </c>
      <c r="C11" s="3" t="s">
        <v>503</v>
      </c>
    </row>
    <row r="12" spans="1:8" ht="28.05" customHeight="1" x14ac:dyDescent="0.3">
      <c r="A12" s="68" t="s">
        <v>165</v>
      </c>
      <c r="B12" s="69" t="s">
        <v>504</v>
      </c>
      <c r="C12" s="3" t="s">
        <v>505</v>
      </c>
    </row>
    <row r="13" spans="1:8" ht="28.05" customHeight="1" x14ac:dyDescent="0.3">
      <c r="A13" s="68" t="s">
        <v>172</v>
      </c>
      <c r="B13" s="69" t="s">
        <v>506</v>
      </c>
      <c r="C13" s="3" t="s">
        <v>507</v>
      </c>
    </row>
    <row r="14" spans="1:8" ht="28.05" customHeight="1" x14ac:dyDescent="0.3">
      <c r="A14" s="68" t="s">
        <v>508</v>
      </c>
      <c r="B14" s="69" t="s">
        <v>509</v>
      </c>
      <c r="C14" s="3" t="s">
        <v>510</v>
      </c>
    </row>
    <row r="15" spans="1:8" ht="28.05" customHeight="1" x14ac:dyDescent="0.3">
      <c r="A15" s="68" t="s">
        <v>511</v>
      </c>
      <c r="B15" s="69" t="s">
        <v>512</v>
      </c>
      <c r="C15" s="3" t="s">
        <v>513</v>
      </c>
    </row>
    <row r="16" spans="1:8" ht="28.05" customHeight="1" x14ac:dyDescent="0.3">
      <c r="A16" s="68" t="s">
        <v>62</v>
      </c>
      <c r="B16" s="69" t="s">
        <v>514</v>
      </c>
      <c r="C16" s="3" t="s">
        <v>515</v>
      </c>
    </row>
    <row r="17" spans="1:3" ht="28.05" customHeight="1" x14ac:dyDescent="0.3">
      <c r="A17" s="68" t="s">
        <v>516</v>
      </c>
      <c r="B17" s="69" t="s">
        <v>517</v>
      </c>
      <c r="C17" s="3" t="s">
        <v>518</v>
      </c>
    </row>
    <row r="18" spans="1:3" ht="28.05" customHeight="1" x14ac:dyDescent="0.3">
      <c r="A18" s="68" t="s">
        <v>519</v>
      </c>
      <c r="B18" s="69" t="s">
        <v>520</v>
      </c>
      <c r="C18" s="3" t="s">
        <v>521</v>
      </c>
    </row>
    <row r="19" spans="1:3" ht="28.05" customHeight="1" x14ac:dyDescent="0.3">
      <c r="A19" s="68" t="s">
        <v>522</v>
      </c>
      <c r="B19" s="69" t="s">
        <v>523</v>
      </c>
      <c r="C19" s="3" t="s">
        <v>524</v>
      </c>
    </row>
    <row r="20" spans="1:3" ht="28.05" customHeight="1" x14ac:dyDescent="0.3">
      <c r="A20" s="68" t="s">
        <v>371</v>
      </c>
      <c r="B20" s="69" t="s">
        <v>525</v>
      </c>
      <c r="C20" s="3" t="s">
        <v>526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</vt:lpstr>
      <vt:lpstr>README</vt:lpstr>
      <vt:lpstr>Fixed Parameters</vt:lpstr>
      <vt:lpstr>Fertilizer Library</vt:lpstr>
      <vt:lpstr>Machinery-Diesel</vt:lpstr>
      <vt:lpstr>Baseline Inputs</vt:lpstr>
      <vt:lpstr>Project Inputs</vt:lpstr>
      <vt:lpstr>Baseline Emissions</vt:lpstr>
      <vt:lpstr>Project Emissions</vt:lpstr>
      <vt:lpstr>Net Reductions</vt:lpstr>
      <vt:lpstr>SOC Removals (QA1)</vt:lpstr>
      <vt:lpstr>Leakage</vt:lpstr>
      <vt:lpstr>Project Summary (VVB)</vt:lpstr>
      <vt:lpstr>Index</vt:lpstr>
      <vt:lpstr>Sheet1</vt:lpstr>
      <vt:lpstr>Equations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2026-06-28T21:00:00Z</dcterms:created>
  <dcterms:modified xsi:type="dcterms:W3CDTF">2026-07-11T03:00:07Z</dcterms:modified>
  <cp:category/>
</cp:coreProperties>
</file>