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ab Results" state="visible" r:id="rId4"/>
    <sheet sheetId="2" name="Instructions" state="visible" r:id="rId5"/>
    <sheet sheetId="3" name="Dashboard" state="visible" r:id="rId6"/>
  </sheets>
  <calcPr calcId="171027"/>
</workbook>
</file>

<file path=xl/sharedStrings.xml><?xml version="1.0" encoding="utf-8"?>
<sst xmlns="http://schemas.openxmlformats.org/spreadsheetml/2006/main" count="124" uniqueCount="117">
  <si>
    <t>CarboNature — SOC &amp; Bulk Density Datasheet</t>
  </si>
  <si>
    <t>v2.0 · Verra VCS VM0042 v2.2 · dry combustion (Dumas) · yellow = laboratory enters, grey = calculated. See the Instructions sheet before filling.</t>
  </si>
  <si>
    <t>SAMPLE IDENTIFICATION  (from the work order)</t>
  </si>
  <si>
    <t>LABORATORY &amp; METHOD</t>
  </si>
  <si>
    <t>BULK DENSITY &amp; COARSE FRAGMENTS</t>
  </si>
  <si>
    <t>CARBON &amp; NITROGEN  (dry combustion)</t>
  </si>
  <si>
    <t>TEXTURE  (cycle 1 only)</t>
  </si>
  <si>
    <t>CALCULATED — do not overwrite</t>
  </si>
  <si>
    <t>No</t>
  </si>
  <si>
    <t>Sample ID</t>
  </si>
  <si>
    <t>Sample Type</t>
  </si>
  <si>
    <t>Work Order</t>
  </si>
  <si>
    <t>Installation (Farm)</t>
  </si>
  <si>
    <t>Project ID</t>
  </si>
  <si>
    <t>Plot ID</t>
  </si>
  <si>
    <t>Point ID</t>
  </si>
  <si>
    <t>Stratum</t>
  </si>
  <si>
    <t>BSL/PR/WP</t>
  </si>
  <si>
    <t>Sampling Date</t>
  </si>
  <si>
    <t xml:space="preserve">Depth Top
[cm]</t>
  </si>
  <si>
    <t xml:space="preserve">Depth Base
[cm]</t>
  </si>
  <si>
    <t xml:space="preserve">Thickness
[cm]</t>
  </si>
  <si>
    <t>Laboratory</t>
  </si>
  <si>
    <t>Analysis Method</t>
  </si>
  <si>
    <t>ISO 17025</t>
  </si>
  <si>
    <t>Analysis Date</t>
  </si>
  <si>
    <t xml:space="preserve">Replicate
No</t>
  </si>
  <si>
    <t xml:space="preserve">BD fine earth
[g/cm3]</t>
  </si>
  <si>
    <t xml:space="preserve">Small CF 2-10mm
[mass %]</t>
  </si>
  <si>
    <t xml:space="preserve">Large CF &gt;10mm
[vol %]</t>
  </si>
  <si>
    <t xml:space="preserve">Dry sample mass
[g]</t>
  </si>
  <si>
    <t xml:space="preserve">Probe/core area
[cm2]</t>
  </si>
  <si>
    <t xml:space="preserve">Soil mass
[t/ha]</t>
  </si>
  <si>
    <t xml:space="preserve">TC
[%]</t>
  </si>
  <si>
    <t xml:space="preserve">TOC 400
[%]</t>
  </si>
  <si>
    <t xml:space="preserve">ROC 600
[%]</t>
  </si>
  <si>
    <t xml:space="preserve">TIC 900
[%]</t>
  </si>
  <si>
    <t xml:space="preserve">TOC = 400+ROC
[%]</t>
  </si>
  <si>
    <t xml:space="preserve">N
[%]</t>
  </si>
  <si>
    <t>C/N ratio</t>
  </si>
  <si>
    <t xml:space="preserve">Sand
[%]</t>
  </si>
  <si>
    <t xml:space="preserve">Silt
[%]</t>
  </si>
  <si>
    <t xml:space="preserve">Clay
[%]</t>
  </si>
  <si>
    <t>USDA Texture Class</t>
  </si>
  <si>
    <t xml:space="preserve">SOC
[t/ha]</t>
  </si>
  <si>
    <t>QC Check</t>
  </si>
  <si>
    <t>How to complete this datasheet</t>
  </si>
  <si>
    <t>What changed from v1.0, and why</t>
  </si>
  <si>
    <t>Sample ID is now 13 characters</t>
  </si>
  <si>
    <t>OFM followed by 10 digits, e.g. OFM0000021615. The previous sheet used 8 digits. Every ID on the work order will be in the new format; please copy them exactly, since the platform matches them character for character.</t>
  </si>
  <si>
    <t>Depth is now two columns</t>
  </si>
  <si>
    <t>Depth Top and Depth Base replace the single "Depth" column. The old sheet recorded 15 or 30 without saying whether that meant the thickness or the lower boundary, and the SOC formula treated it as thickness — so a 15-30 cm sample recorded as "30" produced double the true stock. Record 15 and 30 for the lower increment; Thickness computes itself.</t>
  </si>
  <si>
    <t>Coarse fragments</t>
  </si>
  <si>
    <t>Two new columns. Small CF (2-10 mm) is reported as a mass percentage of the bulk density sample; Large CF (&gt;10 mm) as a percentage of soil volume. VM0042 v2.2 §8.2.1.5 requires soil mass to exclude particles over 2 mm, and the SOC calculation subtracts the volume occupied by large fragments. Where the soil is stone-free, enter 0.</t>
  </si>
  <si>
    <t>Texture block</t>
  </si>
  <si>
    <t>Sand, silt and clay percentages of the fine-earth fraction, for cycle 1 samples only. They must total 100. The USDA class derives itself; if it reads CHECK SUM the three figures do not add up.</t>
  </si>
  <si>
    <t>TOC is now calculated, not entered</t>
  </si>
  <si>
    <t>Under DIN 19539 / ISO 17505 the ramped run gives three fractions: TOC 400 (labile organic C), ROC 600 (recalcitrant organic C — char, soot, coal-derived) and TIC 900 (carbonates). Total organic carbon is TOC 400 + ROC 600, so the sheet computes it. Please report the three fractions and leave the TOC column alone. Reporting TOC 400 by itself as if it were TOC would under-state carbon in any soil holding char.</t>
  </si>
  <si>
    <t>Dry sample mass and probe area</t>
  </si>
  <si>
    <t>Two new columns, and the most important addition. VM0042 §8.2.1.6 requires stock change on an equivalent soil mass (ESM) basis, where soil mass is the dry sample mass divided by the area the probe or auger actually sampled. Fixed-depth accounting lets a change in bulk density — from tillage or compaction, i.e. from the practice being credited — manufacture an apparent carbon change. Without these two figures the ESM calculation cannot be done afterwards, so please record them for every SOC sample.</t>
  </si>
  <si>
    <t>Laboratory and method columns</t>
  </si>
  <si>
    <t>VM0042 §8.2.1.4 requires the analytical method and laboratory to be documented and to stay consistent for the project lifetime. A change of laboratory requires written justification, so these columns are not optional.</t>
  </si>
  <si>
    <t>Which columns you fill</t>
  </si>
  <si>
    <t>Yellow</t>
  </si>
  <si>
    <t>Laboratory enters the value.</t>
  </si>
  <si>
    <t>Grey</t>
  </si>
  <si>
    <t>Calculated by formula. Please do not overwrite — if a grey cell looks wrong, the inputs are usually the problem, and we would rather see it.</t>
  </si>
  <si>
    <t>Reads OK when the row passes. Anything else is a flag worth resolving before sending the file back. It checks the Sample ID format, that TC is at least TOC, that TC ≈ TOC + TIC, that bulk density is physically plausible, and that texture sums to 100.</t>
  </si>
  <si>
    <t>Analytical requirements</t>
  </si>
  <si>
    <t>Method</t>
  </si>
  <si>
    <t>Dry combustion (Dumas) is the reference method under VM0042 §8.2.1.4 — ISO 10694, with EN 15936:2022 as its designated successor. Loss on ignition and Walkley-Black appear in the dropdown but are "not recommended due to accuracy concerns" and should be used only where no alternative exists. Walkley-Black recovers only readily oxidisable carbon and needs a recovery factor that varies by soil; LOI confounds organic matter with structural water from clays.</t>
  </si>
  <si>
    <t>Carbonates</t>
  </si>
  <si>
    <t>Where carbonates are present (calcareous or limed soils), either acid-wash before combustion or report TIC separately so it can be subtracted. Note that carbonate recovery is temperature-sensitive — a run at 900–950 °C may not fully decompose them.</t>
  </si>
  <si>
    <t>Sample preparation</t>
  </si>
  <si>
    <t>Dry ≥24 h at 40 °C, or air-dry ≥48 h at room temperature; sieve to 2 mm with coarse material prevented from passing; mill for homogenisation. Report results on an oven-dry basis.</t>
  </si>
  <si>
    <t>Fine earth only</t>
  </si>
  <si>
    <t>All analyses are on the &lt;2 mm fraction. Coarse material must not pass the 2 mm sieve.</t>
  </si>
  <si>
    <t>Bulk density</t>
  </si>
  <si>
    <t>Core, excavation or clod method per ISO 11272:2017, reported after removal of coarse fragments.</t>
  </si>
  <si>
    <t>Nitrogen</t>
  </si>
  <si>
    <t>Total N by dry combustion per ISO 13878 — same instrument and run as carbon on a CHN analyser.</t>
  </si>
  <si>
    <t>Consistency</t>
  </si>
  <si>
    <t>Sieving and grinding procedures must be reported and must not change over the project lifetime, even if the laboratory changes. VM0042 expects all samples across the project to go to the same laboratory; a change requires written justification.</t>
  </si>
  <si>
    <t>Replicates and QC</t>
  </si>
  <si>
    <t>Where a sample is analysed more than once, give each run its own row and number them in Replicate No. Please also send your method validation and control-chart data: VM0042 requires the laboratory to report analytical error statistics from repeated analyses, and evidence of proficiency testing (NAPT round-robin or GLOSOLAN membership).</t>
  </si>
  <si>
    <t>Units</t>
  </si>
  <si>
    <t>This sheet reports carbon and nitrogen as % of oven-dry mass. If your system reports g/kg, divide by 10 before entering (1% = 10 g/kg).</t>
  </si>
  <si>
    <t>Turnaround</t>
  </si>
  <si>
    <t>Shipping</t>
  </si>
  <si>
    <t>Samples ship within five days of the end of the sampling campaign (VM0042 §8.2.1.3). Refrigerated storage before analysis should not exceed three months.</t>
  </si>
  <si>
    <t>Return</t>
  </si>
  <si>
    <t>Send this workbook back unchanged in structure — added columns or renamed headers will not import. Extra notes are welcome in a separate sheet.</t>
  </si>
  <si>
    <t>The SOC calculation, for reference</t>
  </si>
  <si>
    <t>Formula</t>
  </si>
  <si>
    <t>SOC [t/ha] = TOC [%] × BD [g/cm³] × Thickness [cm] × (1 − LargeCF% / 100)</t>
  </si>
  <si>
    <t>Worked example</t>
  </si>
  <si>
    <t>TOC 1.00 %, BD 1.300 g/cm³, thickness 15 cm, no coarse fragments → 1.00 × 1.300 × 15 = 19.50 t/ha.</t>
  </si>
  <si>
    <t>Note on the factor</t>
  </si>
  <si>
    <t>This is the ×100 form used by the previous sheet and by the CarboNature GHG calculator. The functional specification prints ×1000, which is an order of magnitude high; the ×100 form is correct and is what this sheet uses.</t>
  </si>
  <si>
    <t>Campaign summary</t>
  </si>
  <si>
    <t>Samples received</t>
  </si>
  <si>
    <t>Rows with a Sample ID.</t>
  </si>
  <si>
    <t>— SOC samples</t>
  </si>
  <si>
    <t/>
  </si>
  <si>
    <t>— Texture samples</t>
  </si>
  <si>
    <t>Cycle 1 only.</t>
  </si>
  <si>
    <t>Rows failing QC</t>
  </si>
  <si>
    <t>Should be zero before the file is returned.</t>
  </si>
  <si>
    <t>Mean TOC [%]</t>
  </si>
  <si>
    <t>Mean BD [g/cm3]</t>
  </si>
  <si>
    <t>Mean SOC [t/ha]</t>
  </si>
  <si>
    <t>SD of SOC [t/ha]</t>
  </si>
  <si>
    <t>CV of SOC [%]</t>
  </si>
  <si>
    <t>Above 30% suggests the stratum is heterogeneous and may warrant splitting.</t>
  </si>
  <si>
    <t>Mean SOC — PR [t/ha]</t>
  </si>
  <si>
    <t>Mean SOC — BSL [t/ha]</t>
  </si>
  <si>
    <t>Per-stratum summary is produced by the platform after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</si>
</sst>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0.0"/>
    <numFmt numFmtId="166" formatCode="0.000"/>
    <numFmt numFmtId="167" formatCode="#,##0.0"/>
    <numFmt numFmtId="168" formatCode="0.0000"/>
  </numFmts>
  <fonts count="8" x14ac:knownFonts="1">
    <font>
      <color theme="1"/>
      <family val="2"/>
      <scheme val="minor"/>
      <sz val="11"/>
      <name val="Calibri"/>
    </font>
    <font>
      <b/>
      <color rgb="FF1F4E5F"/>
      <sz val="15"/>
    </font>
    <font>
      <i/>
      <color rgb="FF555555"/>
      <sz val="10"/>
    </font>
    <font>
      <b/>
      <color rgb="FFFFFFFF"/>
      <sz val="9"/>
    </font>
    <font>
      <sz val="10"/>
    </font>
    <font>
      <b/>
      <color rgb="FF1F4E5F"/>
      <sz val="12"/>
    </font>
    <font>
      <b/>
      <sz val="10"/>
    </font>
    <font>
      <i/>
      <color rgb="FF666666"/>
      <sz val="9"/>
    </font>
  </fonts>
  <fills count="10">
    <fill>
      <patternFill patternType="none"/>
    </fill>
    <fill>
      <patternFill patternType="gray125"/>
    </fill>
    <fill>
      <patternFill patternType="solid">
        <fgColor rgb="FF1F4E5F"/>
      </patternFill>
    </fill>
    <fill>
      <patternFill patternType="solid">
        <fgColor rgb="FF4A6741"/>
      </patternFill>
    </fill>
    <fill>
      <patternFill patternType="solid">
        <fgColor rgb="FF7A5C2E"/>
      </patternFill>
    </fill>
    <fill>
      <patternFill patternType="solid">
        <fgColor rgb="FF5B3A6B"/>
      </patternFill>
    </fill>
    <fill>
      <patternFill patternType="solid">
        <fgColor rgb="FF2E6B6B"/>
      </patternFill>
    </fill>
    <fill>
      <patternFill patternType="solid">
        <fgColor rgb="FF555555"/>
      </patternFill>
    </fill>
    <fill>
      <patternFill patternType="solid">
        <fgColor rgb="FFFFF9E0"/>
      </patternFill>
    </fill>
    <fill>
      <patternFill patternType="solid">
        <fgColor rgb="FFEDEDED"/>
      </patternFill>
    </fill>
  </fills>
  <borders count="3">
    <border>
      <left/>
      <right/>
      <top/>
      <bottom/>
      <diagonal/>
    </border>
    <border>
      <left/>
      <right/>
      <top/>
      <bottom style="medium"/>
      <diagonal/>
    </border>
    <border>
      <left style="hair">
        <color rgb="FFCCCCCC"/>
      </left>
      <right style="hair">
        <color rgb="FFCCCCCC"/>
      </right>
      <top style="hair">
        <color rgb="FFCCCCCC"/>
      </top>
      <bottom style="hair">
        <color rgb="FFCCCCCC"/>
      </bottom>
      <diagonal/>
    </border>
  </borders>
  <cellStyleXfs count="1">
    <xf numFmtId="0" fontId="0" fillId="0" borderId="0"/>
  </cellStyleXfs>
  <cellXfs count="36">
    <xf numFmtId="0" fontId="0" fillId="0" borderId="0" xfId="0"/>
    <xf numFmtId="0" fontId="1" fillId="0" borderId="0" xfId="0" applyFont="1" applyAlignment="1">
      <alignment vertical="center"/>
    </xf>
    <xf numFmtId="0" fontId="2" fillId="0" borderId="0" xfId="0" applyFont="1"/>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8" borderId="2" xfId="0" applyFont="1" applyFill="1" applyBorder="1" applyAlignment="1">
      <alignment vertical="center"/>
    </xf>
    <xf numFmtId="164" fontId="4" fillId="8" borderId="2" xfId="0" applyNumberFormat="1" applyFont="1" applyFill="1" applyBorder="1" applyAlignment="1">
      <alignment vertical="center"/>
    </xf>
    <xf numFmtId="1" fontId="4" fillId="8" borderId="2" xfId="0" applyNumberFormat="1" applyFont="1" applyFill="1" applyBorder="1" applyAlignment="1">
      <alignment vertical="center"/>
    </xf>
    <xf numFmtId="165" fontId="4" fillId="9" borderId="2" xfId="0" applyNumberFormat="1" applyFont="1" applyFill="1" applyBorder="1" applyAlignment="1">
      <alignment vertical="center"/>
    </xf>
    <xf numFmtId="166" fontId="4" fillId="8" borderId="2" xfId="0" applyNumberFormat="1" applyFont="1" applyFill="1" applyBorder="1" applyAlignment="1">
      <alignment vertical="center"/>
    </xf>
    <xf numFmtId="165" fontId="4" fillId="8" borderId="2" xfId="0" applyNumberFormat="1" applyFont="1" applyFill="1" applyBorder="1" applyAlignment="1">
      <alignment vertical="center"/>
    </xf>
    <xf numFmtId="2" fontId="4" fillId="8" borderId="2" xfId="0" applyNumberFormat="1" applyFont="1" applyFill="1" applyBorder="1" applyAlignment="1">
      <alignment vertical="center"/>
    </xf>
    <xf numFmtId="167" fontId="4" fillId="9" borderId="2" xfId="0" applyNumberFormat="1" applyFont="1" applyFill="1" applyBorder="1" applyAlignment="1">
      <alignment vertical="center"/>
    </xf>
    <xf numFmtId="168" fontId="4" fillId="8" borderId="2" xfId="0" applyNumberFormat="1" applyFont="1" applyFill="1" applyBorder="1" applyAlignment="1">
      <alignment vertical="center"/>
    </xf>
    <xf numFmtId="168" fontId="4" fillId="9" borderId="2" xfId="0" applyNumberFormat="1" applyFont="1" applyFill="1" applyBorder="1" applyAlignment="1">
      <alignment vertical="center"/>
    </xf>
    <xf numFmtId="2" fontId="4" fillId="9" borderId="2" xfId="0" applyNumberFormat="1" applyFont="1" applyFill="1" applyBorder="1" applyAlignment="1">
      <alignment vertical="center"/>
    </xf>
    <xf numFmtId="0" fontId="4" fillId="9" borderId="2" xfId="0" applyFont="1" applyFill="1" applyBorder="1" applyAlignment="1">
      <alignment vertical="center"/>
    </xf>
    <xf numFmtId="0" fontId="1" fillId="0" borderId="0" xfId="0" applyFont="1"/>
    <xf numFmtId="0" fontId="5" fillId="0" borderId="0" xfId="0" applyFont="1"/>
    <xf numFmtId="0" fontId="6" fillId="0" borderId="0" xfId="0" applyFont="1" applyAlignment="1">
      <alignment vertical="top"/>
    </xf>
    <xf numFmtId="0" fontId="4" fillId="0" borderId="0" xfId="0" applyFont="1" applyAlignment="1">
      <alignment vertical="top" wrapText="1"/>
    </xf>
    <xf numFmtId="0" fontId="6" fillId="0" borderId="0" xfId="0" applyFont="1"/>
    <xf numFmtId="0" fontId="4" fillId="9" borderId="0" xfId="0" applyFont="1" applyFill="1" applyAlignment="1">
      <alignment horizontal="right"/>
    </xf>
    <xf numFmtId="0" fontId="7" fillId="0" borderId="0" xfId="0" applyFont="1" applyAlignment="1">
      <alignment wrapText="1"/>
    </xf>
    <xf numFmtId="0" fontId="4" fillId="0" borderId="0" xfId="0" applyFont="1"/>
    <xf numFmtId="0" fontId="7" fillId="0" borderId="0" xfId="0" applyFont="1"/>
  </cellXfs>
  <cellStyles count="1">
    <cellStyle name="Normal" xfId="0" builtinId="0"/>
  </cellStyles>
  <dxfs count="2">
    <dxf>
      <font>
        <color rgb="FF1E7A1E"/>
      </font>
    </dxf>
    <dxf>
      <font>
        <b/>
        <color rgb="FFB00020"/>
      </font>
      <fill>
        <patternFill patternType="solid">
          <bgColor rgb="FFFDE7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5"/>
  <sheetViews>
    <sheetView workbookViewId="0">
      <pane xSplit="2" ySplit="5" topLeftCell="C6" activePane="bottomRight" state="frozen"/>
      <selection pane="bottomRight"/>
    </sheetView>
  </sheetViews>
  <sheetFormatPr defaultRowHeight="15" outlineLevelRow="0" outlineLevelCol="0" x14ac:dyDescent="55"/>
  <cols>
    <col min="1" max="1" width="5" customWidth="1"/>
    <col min="2" max="2" width="16" customWidth="1"/>
    <col min="3" max="3" width="13" customWidth="1"/>
    <col min="4" max="4" width="14" customWidth="1"/>
    <col min="5" max="5" width="22" customWidth="1"/>
    <col min="6" max="6" width="18" customWidth="1"/>
    <col min="7" max="7" width="12" customWidth="1"/>
    <col min="8" max="8" width="14" customWidth="1"/>
    <col min="10" max="10" width="11" customWidth="1"/>
    <col min="11" max="11" width="13" customWidth="1"/>
    <col min="12" max="14" width="10" customWidth="1"/>
    <col min="15" max="15" width="18" customWidth="1"/>
    <col min="16" max="16" width="22" customWidth="1"/>
    <col min="17" max="17" width="10" customWidth="1"/>
    <col min="18" max="18" width="13" customWidth="1"/>
    <col min="19" max="19" width="10" customWidth="1"/>
    <col min="20" max="20" width="13" customWidth="1"/>
    <col min="21" max="22" width="15" customWidth="1"/>
    <col min="23" max="24" width="14" customWidth="1"/>
    <col min="25" max="25" width="12" customWidth="1"/>
    <col min="27" max="29" width="10" customWidth="1"/>
    <col min="30" max="30" width="13" customWidth="1"/>
    <col min="32" max="32" width="10" customWidth="1"/>
    <col min="36" max="36" width="20" customWidth="1"/>
    <col min="37" max="37" width="11" customWidth="1"/>
    <col min="38" max="38" width="34" customWidth="1"/>
  </cols>
  <sheetData>
    <row r="1" ht="24" customHeight="1" spans="1:38"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6" customHeight="1" spans="1:38" x14ac:dyDescent="0.25">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4" ht="18" customHeight="1" spans="1:38" x14ac:dyDescent="0.25">
      <c r="A4" s="3" t="s">
        <v>2</v>
      </c>
      <c r="B4" s="3"/>
      <c r="C4" s="3"/>
      <c r="D4" s="3"/>
      <c r="E4" s="3"/>
      <c r="F4" s="3"/>
      <c r="G4" s="3"/>
      <c r="H4" s="3"/>
      <c r="I4" s="3"/>
      <c r="J4" s="3"/>
      <c r="K4" s="3"/>
      <c r="L4" s="3"/>
      <c r="M4" s="3"/>
      <c r="N4" s="3"/>
      <c r="O4" s="4" t="s">
        <v>3</v>
      </c>
      <c r="P4" s="4"/>
      <c r="Q4" s="4"/>
      <c r="R4" s="4"/>
      <c r="S4" s="4"/>
      <c r="T4" s="5" t="s">
        <v>4</v>
      </c>
      <c r="U4" s="5"/>
      <c r="V4" s="5"/>
      <c r="W4" s="5"/>
      <c r="X4" s="5"/>
      <c r="Y4" s="5"/>
      <c r="Z4" s="6" t="s">
        <v>5</v>
      </c>
      <c r="AA4" s="6"/>
      <c r="AB4" s="6"/>
      <c r="AC4" s="6"/>
      <c r="AD4" s="6"/>
      <c r="AE4" s="6"/>
      <c r="AF4" s="6"/>
      <c r="AG4" s="7" t="s">
        <v>6</v>
      </c>
      <c r="AH4" s="7"/>
      <c r="AI4" s="7"/>
      <c r="AJ4" s="7"/>
      <c r="AK4" s="8" t="s">
        <v>7</v>
      </c>
      <c r="AL4" s="8"/>
    </row>
    <row r="5" ht="32" customHeight="1" spans="1:38" x14ac:dyDescent="0.25">
      <c r="A5" s="9" t="s">
        <v>8</v>
      </c>
      <c r="B5" s="9" t="s">
        <v>9</v>
      </c>
      <c r="C5" s="9" t="s">
        <v>10</v>
      </c>
      <c r="D5" s="9" t="s">
        <v>11</v>
      </c>
      <c r="E5" s="9" t="s">
        <v>12</v>
      </c>
      <c r="F5" s="9" t="s">
        <v>13</v>
      </c>
      <c r="G5" s="9" t="s">
        <v>14</v>
      </c>
      <c r="H5" s="9" t="s">
        <v>15</v>
      </c>
      <c r="I5" s="9" t="s">
        <v>16</v>
      </c>
      <c r="J5" s="9" t="s">
        <v>17</v>
      </c>
      <c r="K5" s="9" t="s">
        <v>18</v>
      </c>
      <c r="L5" s="9" t="s">
        <v>19</v>
      </c>
      <c r="M5" s="9" t="s">
        <v>20</v>
      </c>
      <c r="N5" s="9" t="s">
        <v>21</v>
      </c>
      <c r="O5" s="10" t="s">
        <v>22</v>
      </c>
      <c r="P5" s="10" t="s">
        <v>23</v>
      </c>
      <c r="Q5" s="10" t="s">
        <v>24</v>
      </c>
      <c r="R5" s="10" t="s">
        <v>25</v>
      </c>
      <c r="S5" s="10" t="s">
        <v>26</v>
      </c>
      <c r="T5" s="11" t="s">
        <v>27</v>
      </c>
      <c r="U5" s="11" t="s">
        <v>28</v>
      </c>
      <c r="V5" s="11" t="s">
        <v>29</v>
      </c>
      <c r="W5" s="11" t="s">
        <v>30</v>
      </c>
      <c r="X5" s="11" t="s">
        <v>31</v>
      </c>
      <c r="Y5" s="11" t="s">
        <v>32</v>
      </c>
      <c r="Z5" s="12" t="s">
        <v>33</v>
      </c>
      <c r="AA5" s="12" t="s">
        <v>34</v>
      </c>
      <c r="AB5" s="12" t="s">
        <v>35</v>
      </c>
      <c r="AC5" s="12" t="s">
        <v>36</v>
      </c>
      <c r="AD5" s="12" t="s">
        <v>37</v>
      </c>
      <c r="AE5" s="12" t="s">
        <v>38</v>
      </c>
      <c r="AF5" s="12" t="s">
        <v>39</v>
      </c>
      <c r="AG5" s="13" t="s">
        <v>40</v>
      </c>
      <c r="AH5" s="13" t="s">
        <v>41</v>
      </c>
      <c r="AI5" s="13" t="s">
        <v>42</v>
      </c>
      <c r="AJ5" s="13" t="s">
        <v>43</v>
      </c>
      <c r="AK5" s="14" t="s">
        <v>44</v>
      </c>
      <c r="AL5" s="14" t="s">
        <v>45</v>
      </c>
    </row>
    <row r="6" spans="1:38" x14ac:dyDescent="0.25">
      <c r="A6" s="15">
        <v>1</v>
      </c>
      <c r="B6" s="15"/>
      <c r="C6" s="15"/>
      <c r="D6" s="15"/>
      <c r="E6" s="15"/>
      <c r="F6" s="15"/>
      <c r="G6" s="15"/>
      <c r="H6" s="15"/>
      <c r="I6" s="15"/>
      <c r="J6" s="15"/>
      <c r="K6" s="16"/>
      <c r="L6" s="17"/>
      <c r="M6" s="17"/>
      <c r="N6" s="18">
        <f>IF(OR(L6="",M6=""),"",M6-L6)</f>
      </c>
      <c r="O6" s="15"/>
      <c r="P6" s="15"/>
      <c r="Q6" s="15"/>
      <c r="R6" s="16"/>
      <c r="S6" s="15"/>
      <c r="T6" s="19"/>
      <c r="U6" s="20"/>
      <c r="V6" s="20"/>
      <c r="W6" s="21"/>
      <c r="X6" s="21"/>
      <c r="Y6" s="22">
        <f>IF(AND(W6&lt;&gt;"",X6&lt;&gt;"",X6&gt;0),ROUND(W6/X6*100,1),IF(OR(T6="",N6=""),"",ROUND(T6*N6*100*(1-N(V6)/100),1)))</f>
      </c>
      <c r="Z6" s="23"/>
      <c r="AA6" s="23"/>
      <c r="AB6" s="23"/>
      <c r="AC6" s="23"/>
      <c r="AD6" s="24">
        <f>IF(AND(AA6="",AB6=""),"",ROUND(N(AA6)+N(AB6),4))</f>
      </c>
      <c r="AE6" s="23"/>
      <c r="AF6" s="25">
        <f>IF(OR(AD6="",AE6="",AE6=0),"",ROUND(AD6/AE6,2))</f>
      </c>
      <c r="AG6" s="20"/>
      <c r="AH6" s="20"/>
      <c r="AI6" s="20"/>
      <c r="AJ6" s="26">
        <f>IF(OR(AG6="",AH6="",AI6=""),"",IF(ABS(AG6+AH6+AI6-100)&gt;1,"CHECK SUM",IF(AND(AH6+1.5*AI6&lt;15),"Sand",IF(AND(AH6+1.5*AI6&gt;=15,AH6+2*AI6&lt;30),"Loamy sand",IF(OR(AND(AI6&gt;=7,AI6&lt;20,AG6&gt;52,AH6+2*AI6&gt;=30),AND(AI6&lt;7,AH6&lt;50,AG6&gt;43,AH6+2*AI6&gt;=30)),"Sandy loam",IF(AND(AI6&gt;=7,AI6&lt;27,AH6&gt;=28,AH6&lt;50,AG6&lt;=52),"Loam",IF(OR(AND(AH6&gt;=50,AI6&gt;=12,AI6&lt;27),AND(AH6&gt;=50,AH6&lt;80,AI6&lt;12)),"Silt loam",IF(AND(AH6&gt;=80,AI6&lt;12),"Silt",IF(AND(AI6&gt;=20,AI6&lt;35,AH6&lt;28,AG6&gt;45),"Sandy clay loam",IF(AND(AI6&gt;=27,AI6&lt;40,AG6&gt;20,AG6&lt;=45),"Clay loam",IF(AND(AI6&gt;=27,AI6&lt;40,AG6&lt;=20),"Silty clay loam",IF(AND(AI6&gt;=35,AG6&gt;45),"Sandy clay",IF(AND(AI6&gt;=40,AH6&gt;=40),"Silty clay",IF(AND(AI6&gt;=40,AG6&lt;=45,AH6&lt;40),"Clay",""))))))))))))))</f>
      </c>
      <c r="AK6" s="25">
        <f>IF(OR(AD6="",T6="",N6=""),"",ROUND(AD6*T6*N6*(1-N(V6)/100),2))</f>
      </c>
      <c r="AL6" s="26">
        <f>IF(B6="","",IF(NOT(AND(LEFT(B6,3)="OFM",LEN(B6)=13)),"Sample ID must be OFM + 10 digits",IF(AND(C6="SOC",AA6="",AB6=""),"TOC 400 / ROC 600 missing",IF(AND(Z6&lt;&gt;"",AA6&lt;&gt;"",AB6&lt;&gt;"",AC6&lt;&gt;"",ABS(Z6-AA6-AB6-AC6)&gt;0.1),"TC &lt;&gt; TOC400 + ROC600 + TIC900",IF(AND(Z6&lt;&gt;"",AD6&lt;&gt;"",Z6&lt;AD6-0.05),"TC &lt; TOC — impossible",IF(AND(T6&lt;&gt;"",OR(T6&lt;0.6,T6&gt;2.0)),"BD outside 0.6-2.0 — verify",IF(AND(C6="Texture",AJ6="CHECK SUM"),"Sand+Silt+Clay must total 100",IF(AND(AD6&lt;&gt;"",AD6&gt;15),"TOC &gt;15% — organic soil?",IF(AND(C6="SOC",W6="",X6=""),"No dry mass/area — ESM not possible","OK"))))))))</f>
      </c>
    </row>
    <row r="7" spans="1:38" x14ac:dyDescent="0.25">
      <c r="A7" s="15">
        <v>2</v>
      </c>
      <c r="B7" s="15"/>
      <c r="C7" s="15"/>
      <c r="D7" s="15"/>
      <c r="E7" s="15"/>
      <c r="F7" s="15"/>
      <c r="G7" s="15"/>
      <c r="H7" s="15"/>
      <c r="I7" s="15"/>
      <c r="J7" s="15"/>
      <c r="K7" s="16"/>
      <c r="L7" s="17"/>
      <c r="M7" s="17"/>
      <c r="N7" s="18">
        <f>IF(OR(L7="",M7=""),"",M7-L7)</f>
      </c>
      <c r="O7" s="15"/>
      <c r="P7" s="15"/>
      <c r="Q7" s="15"/>
      <c r="R7" s="16"/>
      <c r="S7" s="15"/>
      <c r="T7" s="19"/>
      <c r="U7" s="20"/>
      <c r="V7" s="20"/>
      <c r="W7" s="21"/>
      <c r="X7" s="21"/>
      <c r="Y7" s="22">
        <f>IF(AND(W7&lt;&gt;"",X7&lt;&gt;"",X7&gt;0),ROUND(W7/X7*100,1),IF(OR(T7="",N7=""),"",ROUND(T7*N7*100*(1-N(V7)/100),1)))</f>
      </c>
      <c r="Z7" s="23"/>
      <c r="AA7" s="23"/>
      <c r="AB7" s="23"/>
      <c r="AC7" s="23"/>
      <c r="AD7" s="24">
        <f>IF(AND(AA7="",AB7=""),"",ROUND(N(AA7)+N(AB7),4))</f>
      </c>
      <c r="AE7" s="23"/>
      <c r="AF7" s="25">
        <f>IF(OR(AD7="",AE7="",AE7=0),"",ROUND(AD7/AE7,2))</f>
      </c>
      <c r="AG7" s="20"/>
      <c r="AH7" s="20"/>
      <c r="AI7" s="20"/>
      <c r="AJ7" s="26">
        <f>IF(OR(AG7="",AH7="",AI7=""),"",IF(ABS(AG7+AH7+AI7-100)&gt;1,"CHECK SUM",IF(AND(AH7+1.5*AI7&lt;15),"Sand",IF(AND(AH7+1.5*AI7&gt;=15,AH7+2*AI7&lt;30),"Loamy sand",IF(OR(AND(AI7&gt;=7,AI7&lt;20,AG7&gt;52,AH7+2*AI7&gt;=30),AND(AI7&lt;7,AH7&lt;50,AG7&gt;43,AH7+2*AI7&gt;=30)),"Sandy loam",IF(AND(AI7&gt;=7,AI7&lt;27,AH7&gt;=28,AH7&lt;50,AG7&lt;=52),"Loam",IF(OR(AND(AH7&gt;=50,AI7&gt;=12,AI7&lt;27),AND(AH7&gt;=50,AH7&lt;80,AI7&lt;12)),"Silt loam",IF(AND(AH7&gt;=80,AI7&lt;12),"Silt",IF(AND(AI7&gt;=20,AI7&lt;35,AH7&lt;28,AG7&gt;45),"Sandy clay loam",IF(AND(AI7&gt;=27,AI7&lt;40,AG7&gt;20,AG7&lt;=45),"Clay loam",IF(AND(AI7&gt;=27,AI7&lt;40,AG7&lt;=20),"Silty clay loam",IF(AND(AI7&gt;=35,AG7&gt;45),"Sandy clay",IF(AND(AI7&gt;=40,AH7&gt;=40),"Silty clay",IF(AND(AI7&gt;=40,AG7&lt;=45,AH7&lt;40),"Clay",""))))))))))))))</f>
      </c>
      <c r="AK7" s="25">
        <f>IF(OR(AD7="",T7="",N7=""),"",ROUND(AD7*T7*N7*(1-N(V7)/100),2))</f>
      </c>
      <c r="AL7" s="26">
        <f>IF(B7="","",IF(NOT(AND(LEFT(B7,3)="OFM",LEN(B7)=13)),"Sample ID must be OFM + 10 digits",IF(AND(C7="SOC",AA7="",AB7=""),"TOC 400 / ROC 600 missing",IF(AND(Z7&lt;&gt;"",AA7&lt;&gt;"",AB7&lt;&gt;"",AC7&lt;&gt;"",ABS(Z7-AA7-AB7-AC7)&gt;0.1),"TC &lt;&gt; TOC400 + ROC600 + TIC900",IF(AND(Z7&lt;&gt;"",AD7&lt;&gt;"",Z7&lt;AD7-0.05),"TC &lt; TOC — impossible",IF(AND(T7&lt;&gt;"",OR(T7&lt;0.6,T7&gt;2.0)),"BD outside 0.6-2.0 — verify",IF(AND(C7="Texture",AJ7="CHECK SUM"),"Sand+Silt+Clay must total 100",IF(AND(AD7&lt;&gt;"",AD7&gt;15),"TOC &gt;15% — organic soil?",IF(AND(C7="SOC",W7="",X7=""),"No dry mass/area — ESM not possible","OK"))))))))</f>
      </c>
    </row>
    <row r="8" spans="1:38" x14ac:dyDescent="0.25">
      <c r="A8" s="15">
        <v>3</v>
      </c>
      <c r="B8" s="15"/>
      <c r="C8" s="15"/>
      <c r="D8" s="15"/>
      <c r="E8" s="15"/>
      <c r="F8" s="15"/>
      <c r="G8" s="15"/>
      <c r="H8" s="15"/>
      <c r="I8" s="15"/>
      <c r="J8" s="15"/>
      <c r="K8" s="16"/>
      <c r="L8" s="17"/>
      <c r="M8" s="17"/>
      <c r="N8" s="18">
        <f>IF(OR(L8="",M8=""),"",M8-L8)</f>
      </c>
      <c r="O8" s="15"/>
      <c r="P8" s="15"/>
      <c r="Q8" s="15"/>
      <c r="R8" s="16"/>
      <c r="S8" s="15"/>
      <c r="T8" s="19"/>
      <c r="U8" s="20"/>
      <c r="V8" s="20"/>
      <c r="W8" s="21"/>
      <c r="X8" s="21"/>
      <c r="Y8" s="22">
        <f>IF(AND(W8&lt;&gt;"",X8&lt;&gt;"",X8&gt;0),ROUND(W8/X8*100,1),IF(OR(T8="",N8=""),"",ROUND(T8*N8*100*(1-N(V8)/100),1)))</f>
      </c>
      <c r="Z8" s="23"/>
      <c r="AA8" s="23"/>
      <c r="AB8" s="23"/>
      <c r="AC8" s="23"/>
      <c r="AD8" s="24">
        <f>IF(AND(AA8="",AB8=""),"",ROUND(N(AA8)+N(AB8),4))</f>
      </c>
      <c r="AE8" s="23"/>
      <c r="AF8" s="25">
        <f>IF(OR(AD8="",AE8="",AE8=0),"",ROUND(AD8/AE8,2))</f>
      </c>
      <c r="AG8" s="20"/>
      <c r="AH8" s="20"/>
      <c r="AI8" s="20"/>
      <c r="AJ8" s="26">
        <f>IF(OR(AG8="",AH8="",AI8=""),"",IF(ABS(AG8+AH8+AI8-100)&gt;1,"CHECK SUM",IF(AND(AH8+1.5*AI8&lt;15),"Sand",IF(AND(AH8+1.5*AI8&gt;=15,AH8+2*AI8&lt;30),"Loamy sand",IF(OR(AND(AI8&gt;=7,AI8&lt;20,AG8&gt;52,AH8+2*AI8&gt;=30),AND(AI8&lt;7,AH8&lt;50,AG8&gt;43,AH8+2*AI8&gt;=30)),"Sandy loam",IF(AND(AI8&gt;=7,AI8&lt;27,AH8&gt;=28,AH8&lt;50,AG8&lt;=52),"Loam",IF(OR(AND(AH8&gt;=50,AI8&gt;=12,AI8&lt;27),AND(AH8&gt;=50,AH8&lt;80,AI8&lt;12)),"Silt loam",IF(AND(AH8&gt;=80,AI8&lt;12),"Silt",IF(AND(AI8&gt;=20,AI8&lt;35,AH8&lt;28,AG8&gt;45),"Sandy clay loam",IF(AND(AI8&gt;=27,AI8&lt;40,AG8&gt;20,AG8&lt;=45),"Clay loam",IF(AND(AI8&gt;=27,AI8&lt;40,AG8&lt;=20),"Silty clay loam",IF(AND(AI8&gt;=35,AG8&gt;45),"Sandy clay",IF(AND(AI8&gt;=40,AH8&gt;=40),"Silty clay",IF(AND(AI8&gt;=40,AG8&lt;=45,AH8&lt;40),"Clay",""))))))))))))))</f>
      </c>
      <c r="AK8" s="25">
        <f>IF(OR(AD8="",T8="",N8=""),"",ROUND(AD8*T8*N8*(1-N(V8)/100),2))</f>
      </c>
      <c r="AL8" s="26">
        <f>IF(B8="","",IF(NOT(AND(LEFT(B8,3)="OFM",LEN(B8)=13)),"Sample ID must be OFM + 10 digits",IF(AND(C8="SOC",AA8="",AB8=""),"TOC 400 / ROC 600 missing",IF(AND(Z8&lt;&gt;"",AA8&lt;&gt;"",AB8&lt;&gt;"",AC8&lt;&gt;"",ABS(Z8-AA8-AB8-AC8)&gt;0.1),"TC &lt;&gt; TOC400 + ROC600 + TIC900",IF(AND(Z8&lt;&gt;"",AD8&lt;&gt;"",Z8&lt;AD8-0.05),"TC &lt; TOC — impossible",IF(AND(T8&lt;&gt;"",OR(T8&lt;0.6,T8&gt;2.0)),"BD outside 0.6-2.0 — verify",IF(AND(C8="Texture",AJ8="CHECK SUM"),"Sand+Silt+Clay must total 100",IF(AND(AD8&lt;&gt;"",AD8&gt;15),"TOC &gt;15% — organic soil?",IF(AND(C8="SOC",W8="",X8=""),"No dry mass/area — ESM not possible","OK"))))))))</f>
      </c>
    </row>
    <row r="9" spans="1:38" x14ac:dyDescent="0.25">
      <c r="A9" s="15">
        <v>4</v>
      </c>
      <c r="B9" s="15"/>
      <c r="C9" s="15"/>
      <c r="D9" s="15"/>
      <c r="E9" s="15"/>
      <c r="F9" s="15"/>
      <c r="G9" s="15"/>
      <c r="H9" s="15"/>
      <c r="I9" s="15"/>
      <c r="J9" s="15"/>
      <c r="K9" s="16"/>
      <c r="L9" s="17"/>
      <c r="M9" s="17"/>
      <c r="N9" s="18">
        <f>IF(OR(L9="",M9=""),"",M9-L9)</f>
      </c>
      <c r="O9" s="15"/>
      <c r="P9" s="15"/>
      <c r="Q9" s="15"/>
      <c r="R9" s="16"/>
      <c r="S9" s="15"/>
      <c r="T9" s="19"/>
      <c r="U9" s="20"/>
      <c r="V9" s="20"/>
      <c r="W9" s="21"/>
      <c r="X9" s="21"/>
      <c r="Y9" s="22">
        <f>IF(AND(W9&lt;&gt;"",X9&lt;&gt;"",X9&gt;0),ROUND(W9/X9*100,1),IF(OR(T9="",N9=""),"",ROUND(T9*N9*100*(1-N(V9)/100),1)))</f>
      </c>
      <c r="Z9" s="23"/>
      <c r="AA9" s="23"/>
      <c r="AB9" s="23"/>
      <c r="AC9" s="23"/>
      <c r="AD9" s="24">
        <f>IF(AND(AA9="",AB9=""),"",ROUND(N(AA9)+N(AB9),4))</f>
      </c>
      <c r="AE9" s="23"/>
      <c r="AF9" s="25">
        <f>IF(OR(AD9="",AE9="",AE9=0),"",ROUND(AD9/AE9,2))</f>
      </c>
      <c r="AG9" s="20"/>
      <c r="AH9" s="20"/>
      <c r="AI9" s="20"/>
      <c r="AJ9" s="26">
        <f>IF(OR(AG9="",AH9="",AI9=""),"",IF(ABS(AG9+AH9+AI9-100)&gt;1,"CHECK SUM",IF(AND(AH9+1.5*AI9&lt;15),"Sand",IF(AND(AH9+1.5*AI9&gt;=15,AH9+2*AI9&lt;30),"Loamy sand",IF(OR(AND(AI9&gt;=7,AI9&lt;20,AG9&gt;52,AH9+2*AI9&gt;=30),AND(AI9&lt;7,AH9&lt;50,AG9&gt;43,AH9+2*AI9&gt;=30)),"Sandy loam",IF(AND(AI9&gt;=7,AI9&lt;27,AH9&gt;=28,AH9&lt;50,AG9&lt;=52),"Loam",IF(OR(AND(AH9&gt;=50,AI9&gt;=12,AI9&lt;27),AND(AH9&gt;=50,AH9&lt;80,AI9&lt;12)),"Silt loam",IF(AND(AH9&gt;=80,AI9&lt;12),"Silt",IF(AND(AI9&gt;=20,AI9&lt;35,AH9&lt;28,AG9&gt;45),"Sandy clay loam",IF(AND(AI9&gt;=27,AI9&lt;40,AG9&gt;20,AG9&lt;=45),"Clay loam",IF(AND(AI9&gt;=27,AI9&lt;40,AG9&lt;=20),"Silty clay loam",IF(AND(AI9&gt;=35,AG9&gt;45),"Sandy clay",IF(AND(AI9&gt;=40,AH9&gt;=40),"Silty clay",IF(AND(AI9&gt;=40,AG9&lt;=45,AH9&lt;40),"Clay",""))))))))))))))</f>
      </c>
      <c r="AK9" s="25">
        <f>IF(OR(AD9="",T9="",N9=""),"",ROUND(AD9*T9*N9*(1-N(V9)/100),2))</f>
      </c>
      <c r="AL9" s="26">
        <f>IF(B9="","",IF(NOT(AND(LEFT(B9,3)="OFM",LEN(B9)=13)),"Sample ID must be OFM + 10 digits",IF(AND(C9="SOC",AA9="",AB9=""),"TOC 400 / ROC 600 missing",IF(AND(Z9&lt;&gt;"",AA9&lt;&gt;"",AB9&lt;&gt;"",AC9&lt;&gt;"",ABS(Z9-AA9-AB9-AC9)&gt;0.1),"TC &lt;&gt; TOC400 + ROC600 + TIC900",IF(AND(Z9&lt;&gt;"",AD9&lt;&gt;"",Z9&lt;AD9-0.05),"TC &lt; TOC — impossible",IF(AND(T9&lt;&gt;"",OR(T9&lt;0.6,T9&gt;2.0)),"BD outside 0.6-2.0 — verify",IF(AND(C9="Texture",AJ9="CHECK SUM"),"Sand+Silt+Clay must total 100",IF(AND(AD9&lt;&gt;"",AD9&gt;15),"TOC &gt;15% — organic soil?",IF(AND(C9="SOC",W9="",X9=""),"No dry mass/area — ESM not possible","OK"))))))))</f>
      </c>
    </row>
    <row r="10" spans="1:38" x14ac:dyDescent="0.25">
      <c r="A10" s="15">
        <v>5</v>
      </c>
      <c r="B10" s="15"/>
      <c r="C10" s="15"/>
      <c r="D10" s="15"/>
      <c r="E10" s="15"/>
      <c r="F10" s="15"/>
      <c r="G10" s="15"/>
      <c r="H10" s="15"/>
      <c r="I10" s="15"/>
      <c r="J10" s="15"/>
      <c r="K10" s="16"/>
      <c r="L10" s="17"/>
      <c r="M10" s="17"/>
      <c r="N10" s="18">
        <f>IF(OR(L10="",M10=""),"",M10-L10)</f>
      </c>
      <c r="O10" s="15"/>
      <c r="P10" s="15"/>
      <c r="Q10" s="15"/>
      <c r="R10" s="16"/>
      <c r="S10" s="15"/>
      <c r="T10" s="19"/>
      <c r="U10" s="20"/>
      <c r="V10" s="20"/>
      <c r="W10" s="21"/>
      <c r="X10" s="21"/>
      <c r="Y10" s="22">
        <f>IF(AND(W10&lt;&gt;"",X10&lt;&gt;"",X10&gt;0),ROUND(W10/X10*100,1),IF(OR(T10="",N10=""),"",ROUND(T10*N10*100*(1-N(V10)/100),1)))</f>
      </c>
      <c r="Z10" s="23"/>
      <c r="AA10" s="23"/>
      <c r="AB10" s="23"/>
      <c r="AC10" s="23"/>
      <c r="AD10" s="24">
        <f>IF(AND(AA10="",AB10=""),"",ROUND(N(AA10)+N(AB10),4))</f>
      </c>
      <c r="AE10" s="23"/>
      <c r="AF10" s="25">
        <f>IF(OR(AD10="",AE10="",AE10=0),"",ROUND(AD10/AE10,2))</f>
      </c>
      <c r="AG10" s="20"/>
      <c r="AH10" s="20"/>
      <c r="AI10" s="20"/>
      <c r="AJ10" s="26">
        <f>IF(OR(AG10="",AH10="",AI10=""),"",IF(ABS(AG10+AH10+AI10-100)&gt;1,"CHECK SUM",IF(AND(AH10+1.5*AI10&lt;15),"Sand",IF(AND(AH10+1.5*AI10&gt;=15,AH10+2*AI10&lt;30),"Loamy sand",IF(OR(AND(AI10&gt;=7,AI10&lt;20,AG10&gt;52,AH10+2*AI10&gt;=30),AND(AI10&lt;7,AH10&lt;50,AG10&gt;43,AH10+2*AI10&gt;=30)),"Sandy loam",IF(AND(AI10&gt;=7,AI10&lt;27,AH10&gt;=28,AH10&lt;50,AG10&lt;=52),"Loam",IF(OR(AND(AH10&gt;=50,AI10&gt;=12,AI10&lt;27),AND(AH10&gt;=50,AH10&lt;80,AI10&lt;12)),"Silt loam",IF(AND(AH10&gt;=80,AI10&lt;12),"Silt",IF(AND(AI10&gt;=20,AI10&lt;35,AH10&lt;28,AG10&gt;45),"Sandy clay loam",IF(AND(AI10&gt;=27,AI10&lt;40,AG10&gt;20,AG10&lt;=45),"Clay loam",IF(AND(AI10&gt;=27,AI10&lt;40,AG10&lt;=20),"Silty clay loam",IF(AND(AI10&gt;=35,AG10&gt;45),"Sandy clay",IF(AND(AI10&gt;=40,AH10&gt;=40),"Silty clay",IF(AND(AI10&gt;=40,AG10&lt;=45,AH10&lt;40),"Clay",""))))))))))))))</f>
      </c>
      <c r="AK10" s="25">
        <f>IF(OR(AD10="",T10="",N10=""),"",ROUND(AD10*T10*N10*(1-N(V10)/100),2))</f>
      </c>
      <c r="AL10" s="26">
        <f>IF(B10="","",IF(NOT(AND(LEFT(B10,3)="OFM",LEN(B10)=13)),"Sample ID must be OFM + 10 digits",IF(AND(C10="SOC",AA10="",AB10=""),"TOC 400 / ROC 600 missing",IF(AND(Z10&lt;&gt;"",AA10&lt;&gt;"",AB10&lt;&gt;"",AC10&lt;&gt;"",ABS(Z10-AA10-AB10-AC10)&gt;0.1),"TC &lt;&gt; TOC400 + ROC600 + TIC900",IF(AND(Z10&lt;&gt;"",AD10&lt;&gt;"",Z10&lt;AD10-0.05),"TC &lt; TOC — impossible",IF(AND(T10&lt;&gt;"",OR(T10&lt;0.6,T10&gt;2.0)),"BD outside 0.6-2.0 — verify",IF(AND(C10="Texture",AJ10="CHECK SUM"),"Sand+Silt+Clay must total 100",IF(AND(AD10&lt;&gt;"",AD10&gt;15),"TOC &gt;15% — organic soil?",IF(AND(C10="SOC",W10="",X10=""),"No dry mass/area — ESM not possible","OK"))))))))</f>
      </c>
    </row>
    <row r="11" spans="1:38" x14ac:dyDescent="0.25">
      <c r="A11" s="15">
        <v>6</v>
      </c>
      <c r="B11" s="15"/>
      <c r="C11" s="15"/>
      <c r="D11" s="15"/>
      <c r="E11" s="15"/>
      <c r="F11" s="15"/>
      <c r="G11" s="15"/>
      <c r="H11" s="15"/>
      <c r="I11" s="15"/>
      <c r="J11" s="15"/>
      <c r="K11" s="16"/>
      <c r="L11" s="17"/>
      <c r="M11" s="17"/>
      <c r="N11" s="18">
        <f>IF(OR(L11="",M11=""),"",M11-L11)</f>
      </c>
      <c r="O11" s="15"/>
      <c r="P11" s="15"/>
      <c r="Q11" s="15"/>
      <c r="R11" s="16"/>
      <c r="S11" s="15"/>
      <c r="T11" s="19"/>
      <c r="U11" s="20"/>
      <c r="V11" s="20"/>
      <c r="W11" s="21"/>
      <c r="X11" s="21"/>
      <c r="Y11" s="22">
        <f>IF(AND(W11&lt;&gt;"",X11&lt;&gt;"",X11&gt;0),ROUND(W11/X11*100,1),IF(OR(T11="",N11=""),"",ROUND(T11*N11*100*(1-N(V11)/100),1)))</f>
      </c>
      <c r="Z11" s="23"/>
      <c r="AA11" s="23"/>
      <c r="AB11" s="23"/>
      <c r="AC11" s="23"/>
      <c r="AD11" s="24">
        <f>IF(AND(AA11="",AB11=""),"",ROUND(N(AA11)+N(AB11),4))</f>
      </c>
      <c r="AE11" s="23"/>
      <c r="AF11" s="25">
        <f>IF(OR(AD11="",AE11="",AE11=0),"",ROUND(AD11/AE11,2))</f>
      </c>
      <c r="AG11" s="20"/>
      <c r="AH11" s="20"/>
      <c r="AI11" s="20"/>
      <c r="AJ11" s="26">
        <f>IF(OR(AG11="",AH11="",AI11=""),"",IF(ABS(AG11+AH11+AI11-100)&gt;1,"CHECK SUM",IF(AND(AH11+1.5*AI11&lt;15),"Sand",IF(AND(AH11+1.5*AI11&gt;=15,AH11+2*AI11&lt;30),"Loamy sand",IF(OR(AND(AI11&gt;=7,AI11&lt;20,AG11&gt;52,AH11+2*AI11&gt;=30),AND(AI11&lt;7,AH11&lt;50,AG11&gt;43,AH11+2*AI11&gt;=30)),"Sandy loam",IF(AND(AI11&gt;=7,AI11&lt;27,AH11&gt;=28,AH11&lt;50,AG11&lt;=52),"Loam",IF(OR(AND(AH11&gt;=50,AI11&gt;=12,AI11&lt;27),AND(AH11&gt;=50,AH11&lt;80,AI11&lt;12)),"Silt loam",IF(AND(AH11&gt;=80,AI11&lt;12),"Silt",IF(AND(AI11&gt;=20,AI11&lt;35,AH11&lt;28,AG11&gt;45),"Sandy clay loam",IF(AND(AI11&gt;=27,AI11&lt;40,AG11&gt;20,AG11&lt;=45),"Clay loam",IF(AND(AI11&gt;=27,AI11&lt;40,AG11&lt;=20),"Silty clay loam",IF(AND(AI11&gt;=35,AG11&gt;45),"Sandy clay",IF(AND(AI11&gt;=40,AH11&gt;=40),"Silty clay",IF(AND(AI11&gt;=40,AG11&lt;=45,AH11&lt;40),"Clay",""))))))))))))))</f>
      </c>
      <c r="AK11" s="25">
        <f>IF(OR(AD11="",T11="",N11=""),"",ROUND(AD11*T11*N11*(1-N(V11)/100),2))</f>
      </c>
      <c r="AL11" s="26">
        <f>IF(B11="","",IF(NOT(AND(LEFT(B11,3)="OFM",LEN(B11)=13)),"Sample ID must be OFM + 10 digits",IF(AND(C11="SOC",AA11="",AB11=""),"TOC 400 / ROC 600 missing",IF(AND(Z11&lt;&gt;"",AA11&lt;&gt;"",AB11&lt;&gt;"",AC11&lt;&gt;"",ABS(Z11-AA11-AB11-AC11)&gt;0.1),"TC &lt;&gt; TOC400 + ROC600 + TIC900",IF(AND(Z11&lt;&gt;"",AD11&lt;&gt;"",Z11&lt;AD11-0.05),"TC &lt; TOC — impossible",IF(AND(T11&lt;&gt;"",OR(T11&lt;0.6,T11&gt;2.0)),"BD outside 0.6-2.0 — verify",IF(AND(C11="Texture",AJ11="CHECK SUM"),"Sand+Silt+Clay must total 100",IF(AND(AD11&lt;&gt;"",AD11&gt;15),"TOC &gt;15% — organic soil?",IF(AND(C11="SOC",W11="",X11=""),"No dry mass/area — ESM not possible","OK"))))))))</f>
      </c>
    </row>
    <row r="12" spans="1:38" x14ac:dyDescent="0.25">
      <c r="A12" s="15">
        <v>7</v>
      </c>
      <c r="B12" s="15"/>
      <c r="C12" s="15"/>
      <c r="D12" s="15"/>
      <c r="E12" s="15"/>
      <c r="F12" s="15"/>
      <c r="G12" s="15"/>
      <c r="H12" s="15"/>
      <c r="I12" s="15"/>
      <c r="J12" s="15"/>
      <c r="K12" s="16"/>
      <c r="L12" s="17"/>
      <c r="M12" s="17"/>
      <c r="N12" s="18">
        <f>IF(OR(L12="",M12=""),"",M12-L12)</f>
      </c>
      <c r="O12" s="15"/>
      <c r="P12" s="15"/>
      <c r="Q12" s="15"/>
      <c r="R12" s="16"/>
      <c r="S12" s="15"/>
      <c r="T12" s="19"/>
      <c r="U12" s="20"/>
      <c r="V12" s="20"/>
      <c r="W12" s="21"/>
      <c r="X12" s="21"/>
      <c r="Y12" s="22">
        <f>IF(AND(W12&lt;&gt;"",X12&lt;&gt;"",X12&gt;0),ROUND(W12/X12*100,1),IF(OR(T12="",N12=""),"",ROUND(T12*N12*100*(1-N(V12)/100),1)))</f>
      </c>
      <c r="Z12" s="23"/>
      <c r="AA12" s="23"/>
      <c r="AB12" s="23"/>
      <c r="AC12" s="23"/>
      <c r="AD12" s="24">
        <f>IF(AND(AA12="",AB12=""),"",ROUND(N(AA12)+N(AB12),4))</f>
      </c>
      <c r="AE12" s="23"/>
      <c r="AF12" s="25">
        <f>IF(OR(AD12="",AE12="",AE12=0),"",ROUND(AD12/AE12,2))</f>
      </c>
      <c r="AG12" s="20"/>
      <c r="AH12" s="20"/>
      <c r="AI12" s="20"/>
      <c r="AJ12" s="26">
        <f>IF(OR(AG12="",AH12="",AI12=""),"",IF(ABS(AG12+AH12+AI12-100)&gt;1,"CHECK SUM",IF(AND(AH12+1.5*AI12&lt;15),"Sand",IF(AND(AH12+1.5*AI12&gt;=15,AH12+2*AI12&lt;30),"Loamy sand",IF(OR(AND(AI12&gt;=7,AI12&lt;20,AG12&gt;52,AH12+2*AI12&gt;=30),AND(AI12&lt;7,AH12&lt;50,AG12&gt;43,AH12+2*AI12&gt;=30)),"Sandy loam",IF(AND(AI12&gt;=7,AI12&lt;27,AH12&gt;=28,AH12&lt;50,AG12&lt;=52),"Loam",IF(OR(AND(AH12&gt;=50,AI12&gt;=12,AI12&lt;27),AND(AH12&gt;=50,AH12&lt;80,AI12&lt;12)),"Silt loam",IF(AND(AH12&gt;=80,AI12&lt;12),"Silt",IF(AND(AI12&gt;=20,AI12&lt;35,AH12&lt;28,AG12&gt;45),"Sandy clay loam",IF(AND(AI12&gt;=27,AI12&lt;40,AG12&gt;20,AG12&lt;=45),"Clay loam",IF(AND(AI12&gt;=27,AI12&lt;40,AG12&lt;=20),"Silty clay loam",IF(AND(AI12&gt;=35,AG12&gt;45),"Sandy clay",IF(AND(AI12&gt;=40,AH12&gt;=40),"Silty clay",IF(AND(AI12&gt;=40,AG12&lt;=45,AH12&lt;40),"Clay",""))))))))))))))</f>
      </c>
      <c r="AK12" s="25">
        <f>IF(OR(AD12="",T12="",N12=""),"",ROUND(AD12*T12*N12*(1-N(V12)/100),2))</f>
      </c>
      <c r="AL12" s="26">
        <f>IF(B12="","",IF(NOT(AND(LEFT(B12,3)="OFM",LEN(B12)=13)),"Sample ID must be OFM + 10 digits",IF(AND(C12="SOC",AA12="",AB12=""),"TOC 400 / ROC 600 missing",IF(AND(Z12&lt;&gt;"",AA12&lt;&gt;"",AB12&lt;&gt;"",AC12&lt;&gt;"",ABS(Z12-AA12-AB12-AC12)&gt;0.1),"TC &lt;&gt; TOC400 + ROC600 + TIC900",IF(AND(Z12&lt;&gt;"",AD12&lt;&gt;"",Z12&lt;AD12-0.05),"TC &lt; TOC — impossible",IF(AND(T12&lt;&gt;"",OR(T12&lt;0.6,T12&gt;2.0)),"BD outside 0.6-2.0 — verify",IF(AND(C12="Texture",AJ12="CHECK SUM"),"Sand+Silt+Clay must total 100",IF(AND(AD12&lt;&gt;"",AD12&gt;15),"TOC &gt;15% — organic soil?",IF(AND(C12="SOC",W12="",X12=""),"No dry mass/area — ESM not possible","OK"))))))))</f>
      </c>
    </row>
    <row r="13" spans="1:38" x14ac:dyDescent="0.25">
      <c r="A13" s="15">
        <v>8</v>
      </c>
      <c r="B13" s="15"/>
      <c r="C13" s="15"/>
      <c r="D13" s="15"/>
      <c r="E13" s="15"/>
      <c r="F13" s="15"/>
      <c r="G13" s="15"/>
      <c r="H13" s="15"/>
      <c r="I13" s="15"/>
      <c r="J13" s="15"/>
      <c r="K13" s="16"/>
      <c r="L13" s="17"/>
      <c r="M13" s="17"/>
      <c r="N13" s="18">
        <f>IF(OR(L13="",M13=""),"",M13-L13)</f>
      </c>
      <c r="O13" s="15"/>
      <c r="P13" s="15"/>
      <c r="Q13" s="15"/>
      <c r="R13" s="16"/>
      <c r="S13" s="15"/>
      <c r="T13" s="19"/>
      <c r="U13" s="20"/>
      <c r="V13" s="20"/>
      <c r="W13" s="21"/>
      <c r="X13" s="21"/>
      <c r="Y13" s="22">
        <f>IF(AND(W13&lt;&gt;"",X13&lt;&gt;"",X13&gt;0),ROUND(W13/X13*100,1),IF(OR(T13="",N13=""),"",ROUND(T13*N13*100*(1-N(V13)/100),1)))</f>
      </c>
      <c r="Z13" s="23"/>
      <c r="AA13" s="23"/>
      <c r="AB13" s="23"/>
      <c r="AC13" s="23"/>
      <c r="AD13" s="24">
        <f>IF(AND(AA13="",AB13=""),"",ROUND(N(AA13)+N(AB13),4))</f>
      </c>
      <c r="AE13" s="23"/>
      <c r="AF13" s="25">
        <f>IF(OR(AD13="",AE13="",AE13=0),"",ROUND(AD13/AE13,2))</f>
      </c>
      <c r="AG13" s="20"/>
      <c r="AH13" s="20"/>
      <c r="AI13" s="20"/>
      <c r="AJ13" s="26">
        <f>IF(OR(AG13="",AH13="",AI13=""),"",IF(ABS(AG13+AH13+AI13-100)&gt;1,"CHECK SUM",IF(AND(AH13+1.5*AI13&lt;15),"Sand",IF(AND(AH13+1.5*AI13&gt;=15,AH13+2*AI13&lt;30),"Loamy sand",IF(OR(AND(AI13&gt;=7,AI13&lt;20,AG13&gt;52,AH13+2*AI13&gt;=30),AND(AI13&lt;7,AH13&lt;50,AG13&gt;43,AH13+2*AI13&gt;=30)),"Sandy loam",IF(AND(AI13&gt;=7,AI13&lt;27,AH13&gt;=28,AH13&lt;50,AG13&lt;=52),"Loam",IF(OR(AND(AH13&gt;=50,AI13&gt;=12,AI13&lt;27),AND(AH13&gt;=50,AH13&lt;80,AI13&lt;12)),"Silt loam",IF(AND(AH13&gt;=80,AI13&lt;12),"Silt",IF(AND(AI13&gt;=20,AI13&lt;35,AH13&lt;28,AG13&gt;45),"Sandy clay loam",IF(AND(AI13&gt;=27,AI13&lt;40,AG13&gt;20,AG13&lt;=45),"Clay loam",IF(AND(AI13&gt;=27,AI13&lt;40,AG13&lt;=20),"Silty clay loam",IF(AND(AI13&gt;=35,AG13&gt;45),"Sandy clay",IF(AND(AI13&gt;=40,AH13&gt;=40),"Silty clay",IF(AND(AI13&gt;=40,AG13&lt;=45,AH13&lt;40),"Clay",""))))))))))))))</f>
      </c>
      <c r="AK13" s="25">
        <f>IF(OR(AD13="",T13="",N13=""),"",ROUND(AD13*T13*N13*(1-N(V13)/100),2))</f>
      </c>
      <c r="AL13" s="26">
        <f>IF(B13="","",IF(NOT(AND(LEFT(B13,3)="OFM",LEN(B13)=13)),"Sample ID must be OFM + 10 digits",IF(AND(C13="SOC",AA13="",AB13=""),"TOC 400 / ROC 600 missing",IF(AND(Z13&lt;&gt;"",AA13&lt;&gt;"",AB13&lt;&gt;"",AC13&lt;&gt;"",ABS(Z13-AA13-AB13-AC13)&gt;0.1),"TC &lt;&gt; TOC400 + ROC600 + TIC900",IF(AND(Z13&lt;&gt;"",AD13&lt;&gt;"",Z13&lt;AD13-0.05),"TC &lt; TOC — impossible",IF(AND(T13&lt;&gt;"",OR(T13&lt;0.6,T13&gt;2.0)),"BD outside 0.6-2.0 — verify",IF(AND(C13="Texture",AJ13="CHECK SUM"),"Sand+Silt+Clay must total 100",IF(AND(AD13&lt;&gt;"",AD13&gt;15),"TOC &gt;15% — organic soil?",IF(AND(C13="SOC",W13="",X13=""),"No dry mass/area — ESM not possible","OK"))))))))</f>
      </c>
    </row>
    <row r="14" spans="1:38" x14ac:dyDescent="0.25">
      <c r="A14" s="15">
        <v>9</v>
      </c>
      <c r="B14" s="15"/>
      <c r="C14" s="15"/>
      <c r="D14" s="15"/>
      <c r="E14" s="15"/>
      <c r="F14" s="15"/>
      <c r="G14" s="15"/>
      <c r="H14" s="15"/>
      <c r="I14" s="15"/>
      <c r="J14" s="15"/>
      <c r="K14" s="16"/>
      <c r="L14" s="17"/>
      <c r="M14" s="17"/>
      <c r="N14" s="18">
        <f>IF(OR(L14="",M14=""),"",M14-L14)</f>
      </c>
      <c r="O14" s="15"/>
      <c r="P14" s="15"/>
      <c r="Q14" s="15"/>
      <c r="R14" s="16"/>
      <c r="S14" s="15"/>
      <c r="T14" s="19"/>
      <c r="U14" s="20"/>
      <c r="V14" s="20"/>
      <c r="W14" s="21"/>
      <c r="X14" s="21"/>
      <c r="Y14" s="22">
        <f>IF(AND(W14&lt;&gt;"",X14&lt;&gt;"",X14&gt;0),ROUND(W14/X14*100,1),IF(OR(T14="",N14=""),"",ROUND(T14*N14*100*(1-N(V14)/100),1)))</f>
      </c>
      <c r="Z14" s="23"/>
      <c r="AA14" s="23"/>
      <c r="AB14" s="23"/>
      <c r="AC14" s="23"/>
      <c r="AD14" s="24">
        <f>IF(AND(AA14="",AB14=""),"",ROUND(N(AA14)+N(AB14),4))</f>
      </c>
      <c r="AE14" s="23"/>
      <c r="AF14" s="25">
        <f>IF(OR(AD14="",AE14="",AE14=0),"",ROUND(AD14/AE14,2))</f>
      </c>
      <c r="AG14" s="20"/>
      <c r="AH14" s="20"/>
      <c r="AI14" s="20"/>
      <c r="AJ14" s="26">
        <f>IF(OR(AG14="",AH14="",AI14=""),"",IF(ABS(AG14+AH14+AI14-100)&gt;1,"CHECK SUM",IF(AND(AH14+1.5*AI14&lt;15),"Sand",IF(AND(AH14+1.5*AI14&gt;=15,AH14+2*AI14&lt;30),"Loamy sand",IF(OR(AND(AI14&gt;=7,AI14&lt;20,AG14&gt;52,AH14+2*AI14&gt;=30),AND(AI14&lt;7,AH14&lt;50,AG14&gt;43,AH14+2*AI14&gt;=30)),"Sandy loam",IF(AND(AI14&gt;=7,AI14&lt;27,AH14&gt;=28,AH14&lt;50,AG14&lt;=52),"Loam",IF(OR(AND(AH14&gt;=50,AI14&gt;=12,AI14&lt;27),AND(AH14&gt;=50,AH14&lt;80,AI14&lt;12)),"Silt loam",IF(AND(AH14&gt;=80,AI14&lt;12),"Silt",IF(AND(AI14&gt;=20,AI14&lt;35,AH14&lt;28,AG14&gt;45),"Sandy clay loam",IF(AND(AI14&gt;=27,AI14&lt;40,AG14&gt;20,AG14&lt;=45),"Clay loam",IF(AND(AI14&gt;=27,AI14&lt;40,AG14&lt;=20),"Silty clay loam",IF(AND(AI14&gt;=35,AG14&gt;45),"Sandy clay",IF(AND(AI14&gt;=40,AH14&gt;=40),"Silty clay",IF(AND(AI14&gt;=40,AG14&lt;=45,AH14&lt;40),"Clay",""))))))))))))))</f>
      </c>
      <c r="AK14" s="25">
        <f>IF(OR(AD14="",T14="",N14=""),"",ROUND(AD14*T14*N14*(1-N(V14)/100),2))</f>
      </c>
      <c r="AL14" s="26">
        <f>IF(B14="","",IF(NOT(AND(LEFT(B14,3)="OFM",LEN(B14)=13)),"Sample ID must be OFM + 10 digits",IF(AND(C14="SOC",AA14="",AB14=""),"TOC 400 / ROC 600 missing",IF(AND(Z14&lt;&gt;"",AA14&lt;&gt;"",AB14&lt;&gt;"",AC14&lt;&gt;"",ABS(Z14-AA14-AB14-AC14)&gt;0.1),"TC &lt;&gt; TOC400 + ROC600 + TIC900",IF(AND(Z14&lt;&gt;"",AD14&lt;&gt;"",Z14&lt;AD14-0.05),"TC &lt; TOC — impossible",IF(AND(T14&lt;&gt;"",OR(T14&lt;0.6,T14&gt;2.0)),"BD outside 0.6-2.0 — verify",IF(AND(C14="Texture",AJ14="CHECK SUM"),"Sand+Silt+Clay must total 100",IF(AND(AD14&lt;&gt;"",AD14&gt;15),"TOC &gt;15% — organic soil?",IF(AND(C14="SOC",W14="",X14=""),"No dry mass/area — ESM not possible","OK"))))))))</f>
      </c>
    </row>
    <row r="15" spans="1:38" x14ac:dyDescent="0.25">
      <c r="A15" s="15">
        <v>10</v>
      </c>
      <c r="B15" s="15"/>
      <c r="C15" s="15"/>
      <c r="D15" s="15"/>
      <c r="E15" s="15"/>
      <c r="F15" s="15"/>
      <c r="G15" s="15"/>
      <c r="H15" s="15"/>
      <c r="I15" s="15"/>
      <c r="J15" s="15"/>
      <c r="K15" s="16"/>
      <c r="L15" s="17"/>
      <c r="M15" s="17"/>
      <c r="N15" s="18">
        <f>IF(OR(L15="",M15=""),"",M15-L15)</f>
      </c>
      <c r="O15" s="15"/>
      <c r="P15" s="15"/>
      <c r="Q15" s="15"/>
      <c r="R15" s="16"/>
      <c r="S15" s="15"/>
      <c r="T15" s="19"/>
      <c r="U15" s="20"/>
      <c r="V15" s="20"/>
      <c r="W15" s="21"/>
      <c r="X15" s="21"/>
      <c r="Y15" s="22">
        <f>IF(AND(W15&lt;&gt;"",X15&lt;&gt;"",X15&gt;0),ROUND(W15/X15*100,1),IF(OR(T15="",N15=""),"",ROUND(T15*N15*100*(1-N(V15)/100),1)))</f>
      </c>
      <c r="Z15" s="23"/>
      <c r="AA15" s="23"/>
      <c r="AB15" s="23"/>
      <c r="AC15" s="23"/>
      <c r="AD15" s="24">
        <f>IF(AND(AA15="",AB15=""),"",ROUND(N(AA15)+N(AB15),4))</f>
      </c>
      <c r="AE15" s="23"/>
      <c r="AF15" s="25">
        <f>IF(OR(AD15="",AE15="",AE15=0),"",ROUND(AD15/AE15,2))</f>
      </c>
      <c r="AG15" s="20"/>
      <c r="AH15" s="20"/>
      <c r="AI15" s="20"/>
      <c r="AJ15" s="26">
        <f>IF(OR(AG15="",AH15="",AI15=""),"",IF(ABS(AG15+AH15+AI15-100)&gt;1,"CHECK SUM",IF(AND(AH15+1.5*AI15&lt;15),"Sand",IF(AND(AH15+1.5*AI15&gt;=15,AH15+2*AI15&lt;30),"Loamy sand",IF(OR(AND(AI15&gt;=7,AI15&lt;20,AG15&gt;52,AH15+2*AI15&gt;=30),AND(AI15&lt;7,AH15&lt;50,AG15&gt;43,AH15+2*AI15&gt;=30)),"Sandy loam",IF(AND(AI15&gt;=7,AI15&lt;27,AH15&gt;=28,AH15&lt;50,AG15&lt;=52),"Loam",IF(OR(AND(AH15&gt;=50,AI15&gt;=12,AI15&lt;27),AND(AH15&gt;=50,AH15&lt;80,AI15&lt;12)),"Silt loam",IF(AND(AH15&gt;=80,AI15&lt;12),"Silt",IF(AND(AI15&gt;=20,AI15&lt;35,AH15&lt;28,AG15&gt;45),"Sandy clay loam",IF(AND(AI15&gt;=27,AI15&lt;40,AG15&gt;20,AG15&lt;=45),"Clay loam",IF(AND(AI15&gt;=27,AI15&lt;40,AG15&lt;=20),"Silty clay loam",IF(AND(AI15&gt;=35,AG15&gt;45),"Sandy clay",IF(AND(AI15&gt;=40,AH15&gt;=40),"Silty clay",IF(AND(AI15&gt;=40,AG15&lt;=45,AH15&lt;40),"Clay",""))))))))))))))</f>
      </c>
      <c r="AK15" s="25">
        <f>IF(OR(AD15="",T15="",N15=""),"",ROUND(AD15*T15*N15*(1-N(V15)/100),2))</f>
      </c>
      <c r="AL15" s="26">
        <f>IF(B15="","",IF(NOT(AND(LEFT(B15,3)="OFM",LEN(B15)=13)),"Sample ID must be OFM + 10 digits",IF(AND(C15="SOC",AA15="",AB15=""),"TOC 400 / ROC 600 missing",IF(AND(Z15&lt;&gt;"",AA15&lt;&gt;"",AB15&lt;&gt;"",AC15&lt;&gt;"",ABS(Z15-AA15-AB15-AC15)&gt;0.1),"TC &lt;&gt; TOC400 + ROC600 + TIC900",IF(AND(Z15&lt;&gt;"",AD15&lt;&gt;"",Z15&lt;AD15-0.05),"TC &lt; TOC — impossible",IF(AND(T15&lt;&gt;"",OR(T15&lt;0.6,T15&gt;2.0)),"BD outside 0.6-2.0 — verify",IF(AND(C15="Texture",AJ15="CHECK SUM"),"Sand+Silt+Clay must total 100",IF(AND(AD15&lt;&gt;"",AD15&gt;15),"TOC &gt;15% — organic soil?",IF(AND(C15="SOC",W15="",X15=""),"No dry mass/area — ESM not possible","OK"))))))))</f>
      </c>
    </row>
    <row r="16" spans="1:38" x14ac:dyDescent="0.25">
      <c r="A16" s="15">
        <v>11</v>
      </c>
      <c r="B16" s="15"/>
      <c r="C16" s="15"/>
      <c r="D16" s="15"/>
      <c r="E16" s="15"/>
      <c r="F16" s="15"/>
      <c r="G16" s="15"/>
      <c r="H16" s="15"/>
      <c r="I16" s="15"/>
      <c r="J16" s="15"/>
      <c r="K16" s="16"/>
      <c r="L16" s="17"/>
      <c r="M16" s="17"/>
      <c r="N16" s="18">
        <f>IF(OR(L16="",M16=""),"",M16-L16)</f>
      </c>
      <c r="O16" s="15"/>
      <c r="P16" s="15"/>
      <c r="Q16" s="15"/>
      <c r="R16" s="16"/>
      <c r="S16" s="15"/>
      <c r="T16" s="19"/>
      <c r="U16" s="20"/>
      <c r="V16" s="20"/>
      <c r="W16" s="21"/>
      <c r="X16" s="21"/>
      <c r="Y16" s="22">
        <f>IF(AND(W16&lt;&gt;"",X16&lt;&gt;"",X16&gt;0),ROUND(W16/X16*100,1),IF(OR(T16="",N16=""),"",ROUND(T16*N16*100*(1-N(V16)/100),1)))</f>
      </c>
      <c r="Z16" s="23"/>
      <c r="AA16" s="23"/>
      <c r="AB16" s="23"/>
      <c r="AC16" s="23"/>
      <c r="AD16" s="24">
        <f>IF(AND(AA16="",AB16=""),"",ROUND(N(AA16)+N(AB16),4))</f>
      </c>
      <c r="AE16" s="23"/>
      <c r="AF16" s="25">
        <f>IF(OR(AD16="",AE16="",AE16=0),"",ROUND(AD16/AE16,2))</f>
      </c>
      <c r="AG16" s="20"/>
      <c r="AH16" s="20"/>
      <c r="AI16" s="20"/>
      <c r="AJ16" s="26">
        <f>IF(OR(AG16="",AH16="",AI16=""),"",IF(ABS(AG16+AH16+AI16-100)&gt;1,"CHECK SUM",IF(AND(AH16+1.5*AI16&lt;15),"Sand",IF(AND(AH16+1.5*AI16&gt;=15,AH16+2*AI16&lt;30),"Loamy sand",IF(OR(AND(AI16&gt;=7,AI16&lt;20,AG16&gt;52,AH16+2*AI16&gt;=30),AND(AI16&lt;7,AH16&lt;50,AG16&gt;43,AH16+2*AI16&gt;=30)),"Sandy loam",IF(AND(AI16&gt;=7,AI16&lt;27,AH16&gt;=28,AH16&lt;50,AG16&lt;=52),"Loam",IF(OR(AND(AH16&gt;=50,AI16&gt;=12,AI16&lt;27),AND(AH16&gt;=50,AH16&lt;80,AI16&lt;12)),"Silt loam",IF(AND(AH16&gt;=80,AI16&lt;12),"Silt",IF(AND(AI16&gt;=20,AI16&lt;35,AH16&lt;28,AG16&gt;45),"Sandy clay loam",IF(AND(AI16&gt;=27,AI16&lt;40,AG16&gt;20,AG16&lt;=45),"Clay loam",IF(AND(AI16&gt;=27,AI16&lt;40,AG16&lt;=20),"Silty clay loam",IF(AND(AI16&gt;=35,AG16&gt;45),"Sandy clay",IF(AND(AI16&gt;=40,AH16&gt;=40),"Silty clay",IF(AND(AI16&gt;=40,AG16&lt;=45,AH16&lt;40),"Clay",""))))))))))))))</f>
      </c>
      <c r="AK16" s="25">
        <f>IF(OR(AD16="",T16="",N16=""),"",ROUND(AD16*T16*N16*(1-N(V16)/100),2))</f>
      </c>
      <c r="AL16" s="26">
        <f>IF(B16="","",IF(NOT(AND(LEFT(B16,3)="OFM",LEN(B16)=13)),"Sample ID must be OFM + 10 digits",IF(AND(C16="SOC",AA16="",AB16=""),"TOC 400 / ROC 600 missing",IF(AND(Z16&lt;&gt;"",AA16&lt;&gt;"",AB16&lt;&gt;"",AC16&lt;&gt;"",ABS(Z16-AA16-AB16-AC16)&gt;0.1),"TC &lt;&gt; TOC400 + ROC600 + TIC900",IF(AND(Z16&lt;&gt;"",AD16&lt;&gt;"",Z16&lt;AD16-0.05),"TC &lt; TOC — impossible",IF(AND(T16&lt;&gt;"",OR(T16&lt;0.6,T16&gt;2.0)),"BD outside 0.6-2.0 — verify",IF(AND(C16="Texture",AJ16="CHECK SUM"),"Sand+Silt+Clay must total 100",IF(AND(AD16&lt;&gt;"",AD16&gt;15),"TOC &gt;15% — organic soil?",IF(AND(C16="SOC",W16="",X16=""),"No dry mass/area — ESM not possible","OK"))))))))</f>
      </c>
    </row>
    <row r="17" spans="1:38" x14ac:dyDescent="0.25">
      <c r="A17" s="15">
        <v>12</v>
      </c>
      <c r="B17" s="15"/>
      <c r="C17" s="15"/>
      <c r="D17" s="15"/>
      <c r="E17" s="15"/>
      <c r="F17" s="15"/>
      <c r="G17" s="15"/>
      <c r="H17" s="15"/>
      <c r="I17" s="15"/>
      <c r="J17" s="15"/>
      <c r="K17" s="16"/>
      <c r="L17" s="17"/>
      <c r="M17" s="17"/>
      <c r="N17" s="18">
        <f>IF(OR(L17="",M17=""),"",M17-L17)</f>
      </c>
      <c r="O17" s="15"/>
      <c r="P17" s="15"/>
      <c r="Q17" s="15"/>
      <c r="R17" s="16"/>
      <c r="S17" s="15"/>
      <c r="T17" s="19"/>
      <c r="U17" s="20"/>
      <c r="V17" s="20"/>
      <c r="W17" s="21"/>
      <c r="X17" s="21"/>
      <c r="Y17" s="22">
        <f>IF(AND(W17&lt;&gt;"",X17&lt;&gt;"",X17&gt;0),ROUND(W17/X17*100,1),IF(OR(T17="",N17=""),"",ROUND(T17*N17*100*(1-N(V17)/100),1)))</f>
      </c>
      <c r="Z17" s="23"/>
      <c r="AA17" s="23"/>
      <c r="AB17" s="23"/>
      <c r="AC17" s="23"/>
      <c r="AD17" s="24">
        <f>IF(AND(AA17="",AB17=""),"",ROUND(N(AA17)+N(AB17),4))</f>
      </c>
      <c r="AE17" s="23"/>
      <c r="AF17" s="25">
        <f>IF(OR(AD17="",AE17="",AE17=0),"",ROUND(AD17/AE17,2))</f>
      </c>
      <c r="AG17" s="20"/>
      <c r="AH17" s="20"/>
      <c r="AI17" s="20"/>
      <c r="AJ17" s="26">
        <f>IF(OR(AG17="",AH17="",AI17=""),"",IF(ABS(AG17+AH17+AI17-100)&gt;1,"CHECK SUM",IF(AND(AH17+1.5*AI17&lt;15),"Sand",IF(AND(AH17+1.5*AI17&gt;=15,AH17+2*AI17&lt;30),"Loamy sand",IF(OR(AND(AI17&gt;=7,AI17&lt;20,AG17&gt;52,AH17+2*AI17&gt;=30),AND(AI17&lt;7,AH17&lt;50,AG17&gt;43,AH17+2*AI17&gt;=30)),"Sandy loam",IF(AND(AI17&gt;=7,AI17&lt;27,AH17&gt;=28,AH17&lt;50,AG17&lt;=52),"Loam",IF(OR(AND(AH17&gt;=50,AI17&gt;=12,AI17&lt;27),AND(AH17&gt;=50,AH17&lt;80,AI17&lt;12)),"Silt loam",IF(AND(AH17&gt;=80,AI17&lt;12),"Silt",IF(AND(AI17&gt;=20,AI17&lt;35,AH17&lt;28,AG17&gt;45),"Sandy clay loam",IF(AND(AI17&gt;=27,AI17&lt;40,AG17&gt;20,AG17&lt;=45),"Clay loam",IF(AND(AI17&gt;=27,AI17&lt;40,AG17&lt;=20),"Silty clay loam",IF(AND(AI17&gt;=35,AG17&gt;45),"Sandy clay",IF(AND(AI17&gt;=40,AH17&gt;=40),"Silty clay",IF(AND(AI17&gt;=40,AG17&lt;=45,AH17&lt;40),"Clay",""))))))))))))))</f>
      </c>
      <c r="AK17" s="25">
        <f>IF(OR(AD17="",T17="",N17=""),"",ROUND(AD17*T17*N17*(1-N(V17)/100),2))</f>
      </c>
      <c r="AL17" s="26">
        <f>IF(B17="","",IF(NOT(AND(LEFT(B17,3)="OFM",LEN(B17)=13)),"Sample ID must be OFM + 10 digits",IF(AND(C17="SOC",AA17="",AB17=""),"TOC 400 / ROC 600 missing",IF(AND(Z17&lt;&gt;"",AA17&lt;&gt;"",AB17&lt;&gt;"",AC17&lt;&gt;"",ABS(Z17-AA17-AB17-AC17)&gt;0.1),"TC &lt;&gt; TOC400 + ROC600 + TIC900",IF(AND(Z17&lt;&gt;"",AD17&lt;&gt;"",Z17&lt;AD17-0.05),"TC &lt; TOC — impossible",IF(AND(T17&lt;&gt;"",OR(T17&lt;0.6,T17&gt;2.0)),"BD outside 0.6-2.0 — verify",IF(AND(C17="Texture",AJ17="CHECK SUM"),"Sand+Silt+Clay must total 100",IF(AND(AD17&lt;&gt;"",AD17&gt;15),"TOC &gt;15% — organic soil?",IF(AND(C17="SOC",W17="",X17=""),"No dry mass/area — ESM not possible","OK"))))))))</f>
      </c>
    </row>
    <row r="18" spans="1:38" x14ac:dyDescent="0.25">
      <c r="A18" s="15">
        <v>13</v>
      </c>
      <c r="B18" s="15"/>
      <c r="C18" s="15"/>
      <c r="D18" s="15"/>
      <c r="E18" s="15"/>
      <c r="F18" s="15"/>
      <c r="G18" s="15"/>
      <c r="H18" s="15"/>
      <c r="I18" s="15"/>
      <c r="J18" s="15"/>
      <c r="K18" s="16"/>
      <c r="L18" s="17"/>
      <c r="M18" s="17"/>
      <c r="N18" s="18">
        <f>IF(OR(L18="",M18=""),"",M18-L18)</f>
      </c>
      <c r="O18" s="15"/>
      <c r="P18" s="15"/>
      <c r="Q18" s="15"/>
      <c r="R18" s="16"/>
      <c r="S18" s="15"/>
      <c r="T18" s="19"/>
      <c r="U18" s="20"/>
      <c r="V18" s="20"/>
      <c r="W18" s="21"/>
      <c r="X18" s="21"/>
      <c r="Y18" s="22">
        <f>IF(AND(W18&lt;&gt;"",X18&lt;&gt;"",X18&gt;0),ROUND(W18/X18*100,1),IF(OR(T18="",N18=""),"",ROUND(T18*N18*100*(1-N(V18)/100),1)))</f>
      </c>
      <c r="Z18" s="23"/>
      <c r="AA18" s="23"/>
      <c r="AB18" s="23"/>
      <c r="AC18" s="23"/>
      <c r="AD18" s="24">
        <f>IF(AND(AA18="",AB18=""),"",ROUND(N(AA18)+N(AB18),4))</f>
      </c>
      <c r="AE18" s="23"/>
      <c r="AF18" s="25">
        <f>IF(OR(AD18="",AE18="",AE18=0),"",ROUND(AD18/AE18,2))</f>
      </c>
      <c r="AG18" s="20"/>
      <c r="AH18" s="20"/>
      <c r="AI18" s="20"/>
      <c r="AJ18" s="26">
        <f>IF(OR(AG18="",AH18="",AI18=""),"",IF(ABS(AG18+AH18+AI18-100)&gt;1,"CHECK SUM",IF(AND(AH18+1.5*AI18&lt;15),"Sand",IF(AND(AH18+1.5*AI18&gt;=15,AH18+2*AI18&lt;30),"Loamy sand",IF(OR(AND(AI18&gt;=7,AI18&lt;20,AG18&gt;52,AH18+2*AI18&gt;=30),AND(AI18&lt;7,AH18&lt;50,AG18&gt;43,AH18+2*AI18&gt;=30)),"Sandy loam",IF(AND(AI18&gt;=7,AI18&lt;27,AH18&gt;=28,AH18&lt;50,AG18&lt;=52),"Loam",IF(OR(AND(AH18&gt;=50,AI18&gt;=12,AI18&lt;27),AND(AH18&gt;=50,AH18&lt;80,AI18&lt;12)),"Silt loam",IF(AND(AH18&gt;=80,AI18&lt;12),"Silt",IF(AND(AI18&gt;=20,AI18&lt;35,AH18&lt;28,AG18&gt;45),"Sandy clay loam",IF(AND(AI18&gt;=27,AI18&lt;40,AG18&gt;20,AG18&lt;=45),"Clay loam",IF(AND(AI18&gt;=27,AI18&lt;40,AG18&lt;=20),"Silty clay loam",IF(AND(AI18&gt;=35,AG18&gt;45),"Sandy clay",IF(AND(AI18&gt;=40,AH18&gt;=40),"Silty clay",IF(AND(AI18&gt;=40,AG18&lt;=45,AH18&lt;40),"Clay",""))))))))))))))</f>
      </c>
      <c r="AK18" s="25">
        <f>IF(OR(AD18="",T18="",N18=""),"",ROUND(AD18*T18*N18*(1-N(V18)/100),2))</f>
      </c>
      <c r="AL18" s="26">
        <f>IF(B18="","",IF(NOT(AND(LEFT(B18,3)="OFM",LEN(B18)=13)),"Sample ID must be OFM + 10 digits",IF(AND(C18="SOC",AA18="",AB18=""),"TOC 400 / ROC 600 missing",IF(AND(Z18&lt;&gt;"",AA18&lt;&gt;"",AB18&lt;&gt;"",AC18&lt;&gt;"",ABS(Z18-AA18-AB18-AC18)&gt;0.1),"TC &lt;&gt; TOC400 + ROC600 + TIC900",IF(AND(Z18&lt;&gt;"",AD18&lt;&gt;"",Z18&lt;AD18-0.05),"TC &lt; TOC — impossible",IF(AND(T18&lt;&gt;"",OR(T18&lt;0.6,T18&gt;2.0)),"BD outside 0.6-2.0 — verify",IF(AND(C18="Texture",AJ18="CHECK SUM"),"Sand+Silt+Clay must total 100",IF(AND(AD18&lt;&gt;"",AD18&gt;15),"TOC &gt;15% — organic soil?",IF(AND(C18="SOC",W18="",X18=""),"No dry mass/area — ESM not possible","OK"))))))))</f>
      </c>
    </row>
    <row r="19" spans="1:38" x14ac:dyDescent="0.25">
      <c r="A19" s="15">
        <v>14</v>
      </c>
      <c r="B19" s="15"/>
      <c r="C19" s="15"/>
      <c r="D19" s="15"/>
      <c r="E19" s="15"/>
      <c r="F19" s="15"/>
      <c r="G19" s="15"/>
      <c r="H19" s="15"/>
      <c r="I19" s="15"/>
      <c r="J19" s="15"/>
      <c r="K19" s="16"/>
      <c r="L19" s="17"/>
      <c r="M19" s="17"/>
      <c r="N19" s="18">
        <f>IF(OR(L19="",M19=""),"",M19-L19)</f>
      </c>
      <c r="O19" s="15"/>
      <c r="P19" s="15"/>
      <c r="Q19" s="15"/>
      <c r="R19" s="16"/>
      <c r="S19" s="15"/>
      <c r="T19" s="19"/>
      <c r="U19" s="20"/>
      <c r="V19" s="20"/>
      <c r="W19" s="21"/>
      <c r="X19" s="21"/>
      <c r="Y19" s="22">
        <f>IF(AND(W19&lt;&gt;"",X19&lt;&gt;"",X19&gt;0),ROUND(W19/X19*100,1),IF(OR(T19="",N19=""),"",ROUND(T19*N19*100*(1-N(V19)/100),1)))</f>
      </c>
      <c r="Z19" s="23"/>
      <c r="AA19" s="23"/>
      <c r="AB19" s="23"/>
      <c r="AC19" s="23"/>
      <c r="AD19" s="24">
        <f>IF(AND(AA19="",AB19=""),"",ROUND(N(AA19)+N(AB19),4))</f>
      </c>
      <c r="AE19" s="23"/>
      <c r="AF19" s="25">
        <f>IF(OR(AD19="",AE19="",AE19=0),"",ROUND(AD19/AE19,2))</f>
      </c>
      <c r="AG19" s="20"/>
      <c r="AH19" s="20"/>
      <c r="AI19" s="20"/>
      <c r="AJ19" s="26">
        <f>IF(OR(AG19="",AH19="",AI19=""),"",IF(ABS(AG19+AH19+AI19-100)&gt;1,"CHECK SUM",IF(AND(AH19+1.5*AI19&lt;15),"Sand",IF(AND(AH19+1.5*AI19&gt;=15,AH19+2*AI19&lt;30),"Loamy sand",IF(OR(AND(AI19&gt;=7,AI19&lt;20,AG19&gt;52,AH19+2*AI19&gt;=30),AND(AI19&lt;7,AH19&lt;50,AG19&gt;43,AH19+2*AI19&gt;=30)),"Sandy loam",IF(AND(AI19&gt;=7,AI19&lt;27,AH19&gt;=28,AH19&lt;50,AG19&lt;=52),"Loam",IF(OR(AND(AH19&gt;=50,AI19&gt;=12,AI19&lt;27),AND(AH19&gt;=50,AH19&lt;80,AI19&lt;12)),"Silt loam",IF(AND(AH19&gt;=80,AI19&lt;12),"Silt",IF(AND(AI19&gt;=20,AI19&lt;35,AH19&lt;28,AG19&gt;45),"Sandy clay loam",IF(AND(AI19&gt;=27,AI19&lt;40,AG19&gt;20,AG19&lt;=45),"Clay loam",IF(AND(AI19&gt;=27,AI19&lt;40,AG19&lt;=20),"Silty clay loam",IF(AND(AI19&gt;=35,AG19&gt;45),"Sandy clay",IF(AND(AI19&gt;=40,AH19&gt;=40),"Silty clay",IF(AND(AI19&gt;=40,AG19&lt;=45,AH19&lt;40),"Clay",""))))))))))))))</f>
      </c>
      <c r="AK19" s="25">
        <f>IF(OR(AD19="",T19="",N19=""),"",ROUND(AD19*T19*N19*(1-N(V19)/100),2))</f>
      </c>
      <c r="AL19" s="26">
        <f>IF(B19="","",IF(NOT(AND(LEFT(B19,3)="OFM",LEN(B19)=13)),"Sample ID must be OFM + 10 digits",IF(AND(C19="SOC",AA19="",AB19=""),"TOC 400 / ROC 600 missing",IF(AND(Z19&lt;&gt;"",AA19&lt;&gt;"",AB19&lt;&gt;"",AC19&lt;&gt;"",ABS(Z19-AA19-AB19-AC19)&gt;0.1),"TC &lt;&gt; TOC400 + ROC600 + TIC900",IF(AND(Z19&lt;&gt;"",AD19&lt;&gt;"",Z19&lt;AD19-0.05),"TC &lt; TOC — impossible",IF(AND(T19&lt;&gt;"",OR(T19&lt;0.6,T19&gt;2.0)),"BD outside 0.6-2.0 — verify",IF(AND(C19="Texture",AJ19="CHECK SUM"),"Sand+Silt+Clay must total 100",IF(AND(AD19&lt;&gt;"",AD19&gt;15),"TOC &gt;15% — organic soil?",IF(AND(C19="SOC",W19="",X19=""),"No dry mass/area — ESM not possible","OK"))))))))</f>
      </c>
    </row>
    <row r="20" spans="1:38" x14ac:dyDescent="0.25">
      <c r="A20" s="15">
        <v>15</v>
      </c>
      <c r="B20" s="15"/>
      <c r="C20" s="15"/>
      <c r="D20" s="15"/>
      <c r="E20" s="15"/>
      <c r="F20" s="15"/>
      <c r="G20" s="15"/>
      <c r="H20" s="15"/>
      <c r="I20" s="15"/>
      <c r="J20" s="15"/>
      <c r="K20" s="16"/>
      <c r="L20" s="17"/>
      <c r="M20" s="17"/>
      <c r="N20" s="18">
        <f>IF(OR(L20="",M20=""),"",M20-L20)</f>
      </c>
      <c r="O20" s="15"/>
      <c r="P20" s="15"/>
      <c r="Q20" s="15"/>
      <c r="R20" s="16"/>
      <c r="S20" s="15"/>
      <c r="T20" s="19"/>
      <c r="U20" s="20"/>
      <c r="V20" s="20"/>
      <c r="W20" s="21"/>
      <c r="X20" s="21"/>
      <c r="Y20" s="22">
        <f>IF(AND(W20&lt;&gt;"",X20&lt;&gt;"",X20&gt;0),ROUND(W20/X20*100,1),IF(OR(T20="",N20=""),"",ROUND(T20*N20*100*(1-N(V20)/100),1)))</f>
      </c>
      <c r="Z20" s="23"/>
      <c r="AA20" s="23"/>
      <c r="AB20" s="23"/>
      <c r="AC20" s="23"/>
      <c r="AD20" s="24">
        <f>IF(AND(AA20="",AB20=""),"",ROUND(N(AA20)+N(AB20),4))</f>
      </c>
      <c r="AE20" s="23"/>
      <c r="AF20" s="25">
        <f>IF(OR(AD20="",AE20="",AE20=0),"",ROUND(AD20/AE20,2))</f>
      </c>
      <c r="AG20" s="20"/>
      <c r="AH20" s="20"/>
      <c r="AI20" s="20"/>
      <c r="AJ20" s="26">
        <f>IF(OR(AG20="",AH20="",AI20=""),"",IF(ABS(AG20+AH20+AI20-100)&gt;1,"CHECK SUM",IF(AND(AH20+1.5*AI20&lt;15),"Sand",IF(AND(AH20+1.5*AI20&gt;=15,AH20+2*AI20&lt;30),"Loamy sand",IF(OR(AND(AI20&gt;=7,AI20&lt;20,AG20&gt;52,AH20+2*AI20&gt;=30),AND(AI20&lt;7,AH20&lt;50,AG20&gt;43,AH20+2*AI20&gt;=30)),"Sandy loam",IF(AND(AI20&gt;=7,AI20&lt;27,AH20&gt;=28,AH20&lt;50,AG20&lt;=52),"Loam",IF(OR(AND(AH20&gt;=50,AI20&gt;=12,AI20&lt;27),AND(AH20&gt;=50,AH20&lt;80,AI20&lt;12)),"Silt loam",IF(AND(AH20&gt;=80,AI20&lt;12),"Silt",IF(AND(AI20&gt;=20,AI20&lt;35,AH20&lt;28,AG20&gt;45),"Sandy clay loam",IF(AND(AI20&gt;=27,AI20&lt;40,AG20&gt;20,AG20&lt;=45),"Clay loam",IF(AND(AI20&gt;=27,AI20&lt;40,AG20&lt;=20),"Silty clay loam",IF(AND(AI20&gt;=35,AG20&gt;45),"Sandy clay",IF(AND(AI20&gt;=40,AH20&gt;=40),"Silty clay",IF(AND(AI20&gt;=40,AG20&lt;=45,AH20&lt;40),"Clay",""))))))))))))))</f>
      </c>
      <c r="AK20" s="25">
        <f>IF(OR(AD20="",T20="",N20=""),"",ROUND(AD20*T20*N20*(1-N(V20)/100),2))</f>
      </c>
      <c r="AL20" s="26">
        <f>IF(B20="","",IF(NOT(AND(LEFT(B20,3)="OFM",LEN(B20)=13)),"Sample ID must be OFM + 10 digits",IF(AND(C20="SOC",AA20="",AB20=""),"TOC 400 / ROC 600 missing",IF(AND(Z20&lt;&gt;"",AA20&lt;&gt;"",AB20&lt;&gt;"",AC20&lt;&gt;"",ABS(Z20-AA20-AB20-AC20)&gt;0.1),"TC &lt;&gt; TOC400 + ROC600 + TIC900",IF(AND(Z20&lt;&gt;"",AD20&lt;&gt;"",Z20&lt;AD20-0.05),"TC &lt; TOC — impossible",IF(AND(T20&lt;&gt;"",OR(T20&lt;0.6,T20&gt;2.0)),"BD outside 0.6-2.0 — verify",IF(AND(C20="Texture",AJ20="CHECK SUM"),"Sand+Silt+Clay must total 100",IF(AND(AD20&lt;&gt;"",AD20&gt;15),"TOC &gt;15% — organic soil?",IF(AND(C20="SOC",W20="",X20=""),"No dry mass/area — ESM not possible","OK"))))))))</f>
      </c>
    </row>
    <row r="21" spans="1:38" x14ac:dyDescent="0.25">
      <c r="A21" s="15">
        <v>16</v>
      </c>
      <c r="B21" s="15"/>
      <c r="C21" s="15"/>
      <c r="D21" s="15"/>
      <c r="E21" s="15"/>
      <c r="F21" s="15"/>
      <c r="G21" s="15"/>
      <c r="H21" s="15"/>
      <c r="I21" s="15"/>
      <c r="J21" s="15"/>
      <c r="K21" s="16"/>
      <c r="L21" s="17"/>
      <c r="M21" s="17"/>
      <c r="N21" s="18">
        <f>IF(OR(L21="",M21=""),"",M21-L21)</f>
      </c>
      <c r="O21" s="15"/>
      <c r="P21" s="15"/>
      <c r="Q21" s="15"/>
      <c r="R21" s="16"/>
      <c r="S21" s="15"/>
      <c r="T21" s="19"/>
      <c r="U21" s="20"/>
      <c r="V21" s="20"/>
      <c r="W21" s="21"/>
      <c r="X21" s="21"/>
      <c r="Y21" s="22">
        <f>IF(AND(W21&lt;&gt;"",X21&lt;&gt;"",X21&gt;0),ROUND(W21/X21*100,1),IF(OR(T21="",N21=""),"",ROUND(T21*N21*100*(1-N(V21)/100),1)))</f>
      </c>
      <c r="Z21" s="23"/>
      <c r="AA21" s="23"/>
      <c r="AB21" s="23"/>
      <c r="AC21" s="23"/>
      <c r="AD21" s="24">
        <f>IF(AND(AA21="",AB21=""),"",ROUND(N(AA21)+N(AB21),4))</f>
      </c>
      <c r="AE21" s="23"/>
      <c r="AF21" s="25">
        <f>IF(OR(AD21="",AE21="",AE21=0),"",ROUND(AD21/AE21,2))</f>
      </c>
      <c r="AG21" s="20"/>
      <c r="AH21" s="20"/>
      <c r="AI21" s="20"/>
      <c r="AJ21" s="26">
        <f>IF(OR(AG21="",AH21="",AI21=""),"",IF(ABS(AG21+AH21+AI21-100)&gt;1,"CHECK SUM",IF(AND(AH21+1.5*AI21&lt;15),"Sand",IF(AND(AH21+1.5*AI21&gt;=15,AH21+2*AI21&lt;30),"Loamy sand",IF(OR(AND(AI21&gt;=7,AI21&lt;20,AG21&gt;52,AH21+2*AI21&gt;=30),AND(AI21&lt;7,AH21&lt;50,AG21&gt;43,AH21+2*AI21&gt;=30)),"Sandy loam",IF(AND(AI21&gt;=7,AI21&lt;27,AH21&gt;=28,AH21&lt;50,AG21&lt;=52),"Loam",IF(OR(AND(AH21&gt;=50,AI21&gt;=12,AI21&lt;27),AND(AH21&gt;=50,AH21&lt;80,AI21&lt;12)),"Silt loam",IF(AND(AH21&gt;=80,AI21&lt;12),"Silt",IF(AND(AI21&gt;=20,AI21&lt;35,AH21&lt;28,AG21&gt;45),"Sandy clay loam",IF(AND(AI21&gt;=27,AI21&lt;40,AG21&gt;20,AG21&lt;=45),"Clay loam",IF(AND(AI21&gt;=27,AI21&lt;40,AG21&lt;=20),"Silty clay loam",IF(AND(AI21&gt;=35,AG21&gt;45),"Sandy clay",IF(AND(AI21&gt;=40,AH21&gt;=40),"Silty clay",IF(AND(AI21&gt;=40,AG21&lt;=45,AH21&lt;40),"Clay",""))))))))))))))</f>
      </c>
      <c r="AK21" s="25">
        <f>IF(OR(AD21="",T21="",N21=""),"",ROUND(AD21*T21*N21*(1-N(V21)/100),2))</f>
      </c>
      <c r="AL21" s="26">
        <f>IF(B21="","",IF(NOT(AND(LEFT(B21,3)="OFM",LEN(B21)=13)),"Sample ID must be OFM + 10 digits",IF(AND(C21="SOC",AA21="",AB21=""),"TOC 400 / ROC 600 missing",IF(AND(Z21&lt;&gt;"",AA21&lt;&gt;"",AB21&lt;&gt;"",AC21&lt;&gt;"",ABS(Z21-AA21-AB21-AC21)&gt;0.1),"TC &lt;&gt; TOC400 + ROC600 + TIC900",IF(AND(Z21&lt;&gt;"",AD21&lt;&gt;"",Z21&lt;AD21-0.05),"TC &lt; TOC — impossible",IF(AND(T21&lt;&gt;"",OR(T21&lt;0.6,T21&gt;2.0)),"BD outside 0.6-2.0 — verify",IF(AND(C21="Texture",AJ21="CHECK SUM"),"Sand+Silt+Clay must total 100",IF(AND(AD21&lt;&gt;"",AD21&gt;15),"TOC &gt;15% — organic soil?",IF(AND(C21="SOC",W21="",X21=""),"No dry mass/area — ESM not possible","OK"))))))))</f>
      </c>
    </row>
    <row r="22" spans="1:38" x14ac:dyDescent="0.25">
      <c r="A22" s="15">
        <v>17</v>
      </c>
      <c r="B22" s="15"/>
      <c r="C22" s="15"/>
      <c r="D22" s="15"/>
      <c r="E22" s="15"/>
      <c r="F22" s="15"/>
      <c r="G22" s="15"/>
      <c r="H22" s="15"/>
      <c r="I22" s="15"/>
      <c r="J22" s="15"/>
      <c r="K22" s="16"/>
      <c r="L22" s="17"/>
      <c r="M22" s="17"/>
      <c r="N22" s="18">
        <f>IF(OR(L22="",M22=""),"",M22-L22)</f>
      </c>
      <c r="O22" s="15"/>
      <c r="P22" s="15"/>
      <c r="Q22" s="15"/>
      <c r="R22" s="16"/>
      <c r="S22" s="15"/>
      <c r="T22" s="19"/>
      <c r="U22" s="20"/>
      <c r="V22" s="20"/>
      <c r="W22" s="21"/>
      <c r="X22" s="21"/>
      <c r="Y22" s="22">
        <f>IF(AND(W22&lt;&gt;"",X22&lt;&gt;"",X22&gt;0),ROUND(W22/X22*100,1),IF(OR(T22="",N22=""),"",ROUND(T22*N22*100*(1-N(V22)/100),1)))</f>
      </c>
      <c r="Z22" s="23"/>
      <c r="AA22" s="23"/>
      <c r="AB22" s="23"/>
      <c r="AC22" s="23"/>
      <c r="AD22" s="24">
        <f>IF(AND(AA22="",AB22=""),"",ROUND(N(AA22)+N(AB22),4))</f>
      </c>
      <c r="AE22" s="23"/>
      <c r="AF22" s="25">
        <f>IF(OR(AD22="",AE22="",AE22=0),"",ROUND(AD22/AE22,2))</f>
      </c>
      <c r="AG22" s="20"/>
      <c r="AH22" s="20"/>
      <c r="AI22" s="20"/>
      <c r="AJ22" s="26">
        <f>IF(OR(AG22="",AH22="",AI22=""),"",IF(ABS(AG22+AH22+AI22-100)&gt;1,"CHECK SUM",IF(AND(AH22+1.5*AI22&lt;15),"Sand",IF(AND(AH22+1.5*AI22&gt;=15,AH22+2*AI22&lt;30),"Loamy sand",IF(OR(AND(AI22&gt;=7,AI22&lt;20,AG22&gt;52,AH22+2*AI22&gt;=30),AND(AI22&lt;7,AH22&lt;50,AG22&gt;43,AH22+2*AI22&gt;=30)),"Sandy loam",IF(AND(AI22&gt;=7,AI22&lt;27,AH22&gt;=28,AH22&lt;50,AG22&lt;=52),"Loam",IF(OR(AND(AH22&gt;=50,AI22&gt;=12,AI22&lt;27),AND(AH22&gt;=50,AH22&lt;80,AI22&lt;12)),"Silt loam",IF(AND(AH22&gt;=80,AI22&lt;12),"Silt",IF(AND(AI22&gt;=20,AI22&lt;35,AH22&lt;28,AG22&gt;45),"Sandy clay loam",IF(AND(AI22&gt;=27,AI22&lt;40,AG22&gt;20,AG22&lt;=45),"Clay loam",IF(AND(AI22&gt;=27,AI22&lt;40,AG22&lt;=20),"Silty clay loam",IF(AND(AI22&gt;=35,AG22&gt;45),"Sandy clay",IF(AND(AI22&gt;=40,AH22&gt;=40),"Silty clay",IF(AND(AI22&gt;=40,AG22&lt;=45,AH22&lt;40),"Clay",""))))))))))))))</f>
      </c>
      <c r="AK22" s="25">
        <f>IF(OR(AD22="",T22="",N22=""),"",ROUND(AD22*T22*N22*(1-N(V22)/100),2))</f>
      </c>
      <c r="AL22" s="26">
        <f>IF(B22="","",IF(NOT(AND(LEFT(B22,3)="OFM",LEN(B22)=13)),"Sample ID must be OFM + 10 digits",IF(AND(C22="SOC",AA22="",AB22=""),"TOC 400 / ROC 600 missing",IF(AND(Z22&lt;&gt;"",AA22&lt;&gt;"",AB22&lt;&gt;"",AC22&lt;&gt;"",ABS(Z22-AA22-AB22-AC22)&gt;0.1),"TC &lt;&gt; TOC400 + ROC600 + TIC900",IF(AND(Z22&lt;&gt;"",AD22&lt;&gt;"",Z22&lt;AD22-0.05),"TC &lt; TOC — impossible",IF(AND(T22&lt;&gt;"",OR(T22&lt;0.6,T22&gt;2.0)),"BD outside 0.6-2.0 — verify",IF(AND(C22="Texture",AJ22="CHECK SUM"),"Sand+Silt+Clay must total 100",IF(AND(AD22&lt;&gt;"",AD22&gt;15),"TOC &gt;15% — organic soil?",IF(AND(C22="SOC",W22="",X22=""),"No dry mass/area — ESM not possible","OK"))))))))</f>
      </c>
    </row>
    <row r="23" spans="1:38" x14ac:dyDescent="0.25">
      <c r="A23" s="15">
        <v>18</v>
      </c>
      <c r="B23" s="15"/>
      <c r="C23" s="15"/>
      <c r="D23" s="15"/>
      <c r="E23" s="15"/>
      <c r="F23" s="15"/>
      <c r="G23" s="15"/>
      <c r="H23" s="15"/>
      <c r="I23" s="15"/>
      <c r="J23" s="15"/>
      <c r="K23" s="16"/>
      <c r="L23" s="17"/>
      <c r="M23" s="17"/>
      <c r="N23" s="18">
        <f>IF(OR(L23="",M23=""),"",M23-L23)</f>
      </c>
      <c r="O23" s="15"/>
      <c r="P23" s="15"/>
      <c r="Q23" s="15"/>
      <c r="R23" s="16"/>
      <c r="S23" s="15"/>
      <c r="T23" s="19"/>
      <c r="U23" s="20"/>
      <c r="V23" s="20"/>
      <c r="W23" s="21"/>
      <c r="X23" s="21"/>
      <c r="Y23" s="22">
        <f>IF(AND(W23&lt;&gt;"",X23&lt;&gt;"",X23&gt;0),ROUND(W23/X23*100,1),IF(OR(T23="",N23=""),"",ROUND(T23*N23*100*(1-N(V23)/100),1)))</f>
      </c>
      <c r="Z23" s="23"/>
      <c r="AA23" s="23"/>
      <c r="AB23" s="23"/>
      <c r="AC23" s="23"/>
      <c r="AD23" s="24">
        <f>IF(AND(AA23="",AB23=""),"",ROUND(N(AA23)+N(AB23),4))</f>
      </c>
      <c r="AE23" s="23"/>
      <c r="AF23" s="25">
        <f>IF(OR(AD23="",AE23="",AE23=0),"",ROUND(AD23/AE23,2))</f>
      </c>
      <c r="AG23" s="20"/>
      <c r="AH23" s="20"/>
      <c r="AI23" s="20"/>
      <c r="AJ23" s="26">
        <f>IF(OR(AG23="",AH23="",AI23=""),"",IF(ABS(AG23+AH23+AI23-100)&gt;1,"CHECK SUM",IF(AND(AH23+1.5*AI23&lt;15),"Sand",IF(AND(AH23+1.5*AI23&gt;=15,AH23+2*AI23&lt;30),"Loamy sand",IF(OR(AND(AI23&gt;=7,AI23&lt;20,AG23&gt;52,AH23+2*AI23&gt;=30),AND(AI23&lt;7,AH23&lt;50,AG23&gt;43,AH23+2*AI23&gt;=30)),"Sandy loam",IF(AND(AI23&gt;=7,AI23&lt;27,AH23&gt;=28,AH23&lt;50,AG23&lt;=52),"Loam",IF(OR(AND(AH23&gt;=50,AI23&gt;=12,AI23&lt;27),AND(AH23&gt;=50,AH23&lt;80,AI23&lt;12)),"Silt loam",IF(AND(AH23&gt;=80,AI23&lt;12),"Silt",IF(AND(AI23&gt;=20,AI23&lt;35,AH23&lt;28,AG23&gt;45),"Sandy clay loam",IF(AND(AI23&gt;=27,AI23&lt;40,AG23&gt;20,AG23&lt;=45),"Clay loam",IF(AND(AI23&gt;=27,AI23&lt;40,AG23&lt;=20),"Silty clay loam",IF(AND(AI23&gt;=35,AG23&gt;45),"Sandy clay",IF(AND(AI23&gt;=40,AH23&gt;=40),"Silty clay",IF(AND(AI23&gt;=40,AG23&lt;=45,AH23&lt;40),"Clay",""))))))))))))))</f>
      </c>
      <c r="AK23" s="25">
        <f>IF(OR(AD23="",T23="",N23=""),"",ROUND(AD23*T23*N23*(1-N(V23)/100),2))</f>
      </c>
      <c r="AL23" s="26">
        <f>IF(B23="","",IF(NOT(AND(LEFT(B23,3)="OFM",LEN(B23)=13)),"Sample ID must be OFM + 10 digits",IF(AND(C23="SOC",AA23="",AB23=""),"TOC 400 / ROC 600 missing",IF(AND(Z23&lt;&gt;"",AA23&lt;&gt;"",AB23&lt;&gt;"",AC23&lt;&gt;"",ABS(Z23-AA23-AB23-AC23)&gt;0.1),"TC &lt;&gt; TOC400 + ROC600 + TIC900",IF(AND(Z23&lt;&gt;"",AD23&lt;&gt;"",Z23&lt;AD23-0.05),"TC &lt; TOC — impossible",IF(AND(T23&lt;&gt;"",OR(T23&lt;0.6,T23&gt;2.0)),"BD outside 0.6-2.0 — verify",IF(AND(C23="Texture",AJ23="CHECK SUM"),"Sand+Silt+Clay must total 100",IF(AND(AD23&lt;&gt;"",AD23&gt;15),"TOC &gt;15% — organic soil?",IF(AND(C23="SOC",W23="",X23=""),"No dry mass/area — ESM not possible","OK"))))))))</f>
      </c>
    </row>
    <row r="24" spans="1:38" x14ac:dyDescent="0.25">
      <c r="A24" s="15">
        <v>19</v>
      </c>
      <c r="B24" s="15"/>
      <c r="C24" s="15"/>
      <c r="D24" s="15"/>
      <c r="E24" s="15"/>
      <c r="F24" s="15"/>
      <c r="G24" s="15"/>
      <c r="H24" s="15"/>
      <c r="I24" s="15"/>
      <c r="J24" s="15"/>
      <c r="K24" s="16"/>
      <c r="L24" s="17"/>
      <c r="M24" s="17"/>
      <c r="N24" s="18">
        <f>IF(OR(L24="",M24=""),"",M24-L24)</f>
      </c>
      <c r="O24" s="15"/>
      <c r="P24" s="15"/>
      <c r="Q24" s="15"/>
      <c r="R24" s="16"/>
      <c r="S24" s="15"/>
      <c r="T24" s="19"/>
      <c r="U24" s="20"/>
      <c r="V24" s="20"/>
      <c r="W24" s="21"/>
      <c r="X24" s="21"/>
      <c r="Y24" s="22">
        <f>IF(AND(W24&lt;&gt;"",X24&lt;&gt;"",X24&gt;0),ROUND(W24/X24*100,1),IF(OR(T24="",N24=""),"",ROUND(T24*N24*100*(1-N(V24)/100),1)))</f>
      </c>
      <c r="Z24" s="23"/>
      <c r="AA24" s="23"/>
      <c r="AB24" s="23"/>
      <c r="AC24" s="23"/>
      <c r="AD24" s="24">
        <f>IF(AND(AA24="",AB24=""),"",ROUND(N(AA24)+N(AB24),4))</f>
      </c>
      <c r="AE24" s="23"/>
      <c r="AF24" s="25">
        <f>IF(OR(AD24="",AE24="",AE24=0),"",ROUND(AD24/AE24,2))</f>
      </c>
      <c r="AG24" s="20"/>
      <c r="AH24" s="20"/>
      <c r="AI24" s="20"/>
      <c r="AJ24" s="26">
        <f>IF(OR(AG24="",AH24="",AI24=""),"",IF(ABS(AG24+AH24+AI24-100)&gt;1,"CHECK SUM",IF(AND(AH24+1.5*AI24&lt;15),"Sand",IF(AND(AH24+1.5*AI24&gt;=15,AH24+2*AI24&lt;30),"Loamy sand",IF(OR(AND(AI24&gt;=7,AI24&lt;20,AG24&gt;52,AH24+2*AI24&gt;=30),AND(AI24&lt;7,AH24&lt;50,AG24&gt;43,AH24+2*AI24&gt;=30)),"Sandy loam",IF(AND(AI24&gt;=7,AI24&lt;27,AH24&gt;=28,AH24&lt;50,AG24&lt;=52),"Loam",IF(OR(AND(AH24&gt;=50,AI24&gt;=12,AI24&lt;27),AND(AH24&gt;=50,AH24&lt;80,AI24&lt;12)),"Silt loam",IF(AND(AH24&gt;=80,AI24&lt;12),"Silt",IF(AND(AI24&gt;=20,AI24&lt;35,AH24&lt;28,AG24&gt;45),"Sandy clay loam",IF(AND(AI24&gt;=27,AI24&lt;40,AG24&gt;20,AG24&lt;=45),"Clay loam",IF(AND(AI24&gt;=27,AI24&lt;40,AG24&lt;=20),"Silty clay loam",IF(AND(AI24&gt;=35,AG24&gt;45),"Sandy clay",IF(AND(AI24&gt;=40,AH24&gt;=40),"Silty clay",IF(AND(AI24&gt;=40,AG24&lt;=45,AH24&lt;40),"Clay",""))))))))))))))</f>
      </c>
      <c r="AK24" s="25">
        <f>IF(OR(AD24="",T24="",N24=""),"",ROUND(AD24*T24*N24*(1-N(V24)/100),2))</f>
      </c>
      <c r="AL24" s="26">
        <f>IF(B24="","",IF(NOT(AND(LEFT(B24,3)="OFM",LEN(B24)=13)),"Sample ID must be OFM + 10 digits",IF(AND(C24="SOC",AA24="",AB24=""),"TOC 400 / ROC 600 missing",IF(AND(Z24&lt;&gt;"",AA24&lt;&gt;"",AB24&lt;&gt;"",AC24&lt;&gt;"",ABS(Z24-AA24-AB24-AC24)&gt;0.1),"TC &lt;&gt; TOC400 + ROC600 + TIC900",IF(AND(Z24&lt;&gt;"",AD24&lt;&gt;"",Z24&lt;AD24-0.05),"TC &lt; TOC — impossible",IF(AND(T24&lt;&gt;"",OR(T24&lt;0.6,T24&gt;2.0)),"BD outside 0.6-2.0 — verify",IF(AND(C24="Texture",AJ24="CHECK SUM"),"Sand+Silt+Clay must total 100",IF(AND(AD24&lt;&gt;"",AD24&gt;15),"TOC &gt;15% — organic soil?",IF(AND(C24="SOC",W24="",X24=""),"No dry mass/area — ESM not possible","OK"))))))))</f>
      </c>
    </row>
    <row r="25" spans="1:38" x14ac:dyDescent="0.25">
      <c r="A25" s="15">
        <v>20</v>
      </c>
      <c r="B25" s="15"/>
      <c r="C25" s="15"/>
      <c r="D25" s="15"/>
      <c r="E25" s="15"/>
      <c r="F25" s="15"/>
      <c r="G25" s="15"/>
      <c r="H25" s="15"/>
      <c r="I25" s="15"/>
      <c r="J25" s="15"/>
      <c r="K25" s="16"/>
      <c r="L25" s="17"/>
      <c r="M25" s="17"/>
      <c r="N25" s="18">
        <f>IF(OR(L25="",M25=""),"",M25-L25)</f>
      </c>
      <c r="O25" s="15"/>
      <c r="P25" s="15"/>
      <c r="Q25" s="15"/>
      <c r="R25" s="16"/>
      <c r="S25" s="15"/>
      <c r="T25" s="19"/>
      <c r="U25" s="20"/>
      <c r="V25" s="20"/>
      <c r="W25" s="21"/>
      <c r="X25" s="21"/>
      <c r="Y25" s="22">
        <f>IF(AND(W25&lt;&gt;"",X25&lt;&gt;"",X25&gt;0),ROUND(W25/X25*100,1),IF(OR(T25="",N25=""),"",ROUND(T25*N25*100*(1-N(V25)/100),1)))</f>
      </c>
      <c r="Z25" s="23"/>
      <c r="AA25" s="23"/>
      <c r="AB25" s="23"/>
      <c r="AC25" s="23"/>
      <c r="AD25" s="24">
        <f>IF(AND(AA25="",AB25=""),"",ROUND(N(AA25)+N(AB25),4))</f>
      </c>
      <c r="AE25" s="23"/>
      <c r="AF25" s="25">
        <f>IF(OR(AD25="",AE25="",AE25=0),"",ROUND(AD25/AE25,2))</f>
      </c>
      <c r="AG25" s="20"/>
      <c r="AH25" s="20"/>
      <c r="AI25" s="20"/>
      <c r="AJ25" s="26">
        <f>IF(OR(AG25="",AH25="",AI25=""),"",IF(ABS(AG25+AH25+AI25-100)&gt;1,"CHECK SUM",IF(AND(AH25+1.5*AI25&lt;15),"Sand",IF(AND(AH25+1.5*AI25&gt;=15,AH25+2*AI25&lt;30),"Loamy sand",IF(OR(AND(AI25&gt;=7,AI25&lt;20,AG25&gt;52,AH25+2*AI25&gt;=30),AND(AI25&lt;7,AH25&lt;50,AG25&gt;43,AH25+2*AI25&gt;=30)),"Sandy loam",IF(AND(AI25&gt;=7,AI25&lt;27,AH25&gt;=28,AH25&lt;50,AG25&lt;=52),"Loam",IF(OR(AND(AH25&gt;=50,AI25&gt;=12,AI25&lt;27),AND(AH25&gt;=50,AH25&lt;80,AI25&lt;12)),"Silt loam",IF(AND(AH25&gt;=80,AI25&lt;12),"Silt",IF(AND(AI25&gt;=20,AI25&lt;35,AH25&lt;28,AG25&gt;45),"Sandy clay loam",IF(AND(AI25&gt;=27,AI25&lt;40,AG25&gt;20,AG25&lt;=45),"Clay loam",IF(AND(AI25&gt;=27,AI25&lt;40,AG25&lt;=20),"Silty clay loam",IF(AND(AI25&gt;=35,AG25&gt;45),"Sandy clay",IF(AND(AI25&gt;=40,AH25&gt;=40),"Silty clay",IF(AND(AI25&gt;=40,AG25&lt;=45,AH25&lt;40),"Clay",""))))))))))))))</f>
      </c>
      <c r="AK25" s="25">
        <f>IF(OR(AD25="",T25="",N25=""),"",ROUND(AD25*T25*N25*(1-N(V25)/100),2))</f>
      </c>
      <c r="AL25" s="26">
        <f>IF(B25="","",IF(NOT(AND(LEFT(B25,3)="OFM",LEN(B25)=13)),"Sample ID must be OFM + 10 digits",IF(AND(C25="SOC",AA25="",AB25=""),"TOC 400 / ROC 600 missing",IF(AND(Z25&lt;&gt;"",AA25&lt;&gt;"",AB25&lt;&gt;"",AC25&lt;&gt;"",ABS(Z25-AA25-AB25-AC25)&gt;0.1),"TC &lt;&gt; TOC400 + ROC600 + TIC900",IF(AND(Z25&lt;&gt;"",AD25&lt;&gt;"",Z25&lt;AD25-0.05),"TC &lt; TOC — impossible",IF(AND(T25&lt;&gt;"",OR(T25&lt;0.6,T25&gt;2.0)),"BD outside 0.6-2.0 — verify",IF(AND(C25="Texture",AJ25="CHECK SUM"),"Sand+Silt+Clay must total 100",IF(AND(AD25&lt;&gt;"",AD25&gt;15),"TOC &gt;15% — organic soil?",IF(AND(C25="SOC",W25="",X25=""),"No dry mass/area — ESM not possible","OK"))))))))</f>
      </c>
    </row>
    <row r="26" spans="1:38" x14ac:dyDescent="0.25">
      <c r="A26" s="15">
        <v>21</v>
      </c>
      <c r="B26" s="15"/>
      <c r="C26" s="15"/>
      <c r="D26" s="15"/>
      <c r="E26" s="15"/>
      <c r="F26" s="15"/>
      <c r="G26" s="15"/>
      <c r="H26" s="15"/>
      <c r="I26" s="15"/>
      <c r="J26" s="15"/>
      <c r="K26" s="16"/>
      <c r="L26" s="17"/>
      <c r="M26" s="17"/>
      <c r="N26" s="18">
        <f>IF(OR(L26="",M26=""),"",M26-L26)</f>
      </c>
      <c r="O26" s="15"/>
      <c r="P26" s="15"/>
      <c r="Q26" s="15"/>
      <c r="R26" s="16"/>
      <c r="S26" s="15"/>
      <c r="T26" s="19"/>
      <c r="U26" s="20"/>
      <c r="V26" s="20"/>
      <c r="W26" s="21"/>
      <c r="X26" s="21"/>
      <c r="Y26" s="22">
        <f>IF(AND(W26&lt;&gt;"",X26&lt;&gt;"",X26&gt;0),ROUND(W26/X26*100,1),IF(OR(T26="",N26=""),"",ROUND(T26*N26*100*(1-N(V26)/100),1)))</f>
      </c>
      <c r="Z26" s="23"/>
      <c r="AA26" s="23"/>
      <c r="AB26" s="23"/>
      <c r="AC26" s="23"/>
      <c r="AD26" s="24">
        <f>IF(AND(AA26="",AB26=""),"",ROUND(N(AA26)+N(AB26),4))</f>
      </c>
      <c r="AE26" s="23"/>
      <c r="AF26" s="25">
        <f>IF(OR(AD26="",AE26="",AE26=0),"",ROUND(AD26/AE26,2))</f>
      </c>
      <c r="AG26" s="20"/>
      <c r="AH26" s="20"/>
      <c r="AI26" s="20"/>
      <c r="AJ26" s="26">
        <f>IF(OR(AG26="",AH26="",AI26=""),"",IF(ABS(AG26+AH26+AI26-100)&gt;1,"CHECK SUM",IF(AND(AH26+1.5*AI26&lt;15),"Sand",IF(AND(AH26+1.5*AI26&gt;=15,AH26+2*AI26&lt;30),"Loamy sand",IF(OR(AND(AI26&gt;=7,AI26&lt;20,AG26&gt;52,AH26+2*AI26&gt;=30),AND(AI26&lt;7,AH26&lt;50,AG26&gt;43,AH26+2*AI26&gt;=30)),"Sandy loam",IF(AND(AI26&gt;=7,AI26&lt;27,AH26&gt;=28,AH26&lt;50,AG26&lt;=52),"Loam",IF(OR(AND(AH26&gt;=50,AI26&gt;=12,AI26&lt;27),AND(AH26&gt;=50,AH26&lt;80,AI26&lt;12)),"Silt loam",IF(AND(AH26&gt;=80,AI26&lt;12),"Silt",IF(AND(AI26&gt;=20,AI26&lt;35,AH26&lt;28,AG26&gt;45),"Sandy clay loam",IF(AND(AI26&gt;=27,AI26&lt;40,AG26&gt;20,AG26&lt;=45),"Clay loam",IF(AND(AI26&gt;=27,AI26&lt;40,AG26&lt;=20),"Silty clay loam",IF(AND(AI26&gt;=35,AG26&gt;45),"Sandy clay",IF(AND(AI26&gt;=40,AH26&gt;=40),"Silty clay",IF(AND(AI26&gt;=40,AG26&lt;=45,AH26&lt;40),"Clay",""))))))))))))))</f>
      </c>
      <c r="AK26" s="25">
        <f>IF(OR(AD26="",T26="",N26=""),"",ROUND(AD26*T26*N26*(1-N(V26)/100),2))</f>
      </c>
      <c r="AL26" s="26">
        <f>IF(B26="","",IF(NOT(AND(LEFT(B26,3)="OFM",LEN(B26)=13)),"Sample ID must be OFM + 10 digits",IF(AND(C26="SOC",AA26="",AB26=""),"TOC 400 / ROC 600 missing",IF(AND(Z26&lt;&gt;"",AA26&lt;&gt;"",AB26&lt;&gt;"",AC26&lt;&gt;"",ABS(Z26-AA26-AB26-AC26)&gt;0.1),"TC &lt;&gt; TOC400 + ROC600 + TIC900",IF(AND(Z26&lt;&gt;"",AD26&lt;&gt;"",Z26&lt;AD26-0.05),"TC &lt; TOC — impossible",IF(AND(T26&lt;&gt;"",OR(T26&lt;0.6,T26&gt;2.0)),"BD outside 0.6-2.0 — verify",IF(AND(C26="Texture",AJ26="CHECK SUM"),"Sand+Silt+Clay must total 100",IF(AND(AD26&lt;&gt;"",AD26&gt;15),"TOC &gt;15% — organic soil?",IF(AND(C26="SOC",W26="",X26=""),"No dry mass/area — ESM not possible","OK"))))))))</f>
      </c>
    </row>
    <row r="27" spans="1:38" x14ac:dyDescent="0.25">
      <c r="A27" s="15">
        <v>22</v>
      </c>
      <c r="B27" s="15"/>
      <c r="C27" s="15"/>
      <c r="D27" s="15"/>
      <c r="E27" s="15"/>
      <c r="F27" s="15"/>
      <c r="G27" s="15"/>
      <c r="H27" s="15"/>
      <c r="I27" s="15"/>
      <c r="J27" s="15"/>
      <c r="K27" s="16"/>
      <c r="L27" s="17"/>
      <c r="M27" s="17"/>
      <c r="N27" s="18">
        <f>IF(OR(L27="",M27=""),"",M27-L27)</f>
      </c>
      <c r="O27" s="15"/>
      <c r="P27" s="15"/>
      <c r="Q27" s="15"/>
      <c r="R27" s="16"/>
      <c r="S27" s="15"/>
      <c r="T27" s="19"/>
      <c r="U27" s="20"/>
      <c r="V27" s="20"/>
      <c r="W27" s="21"/>
      <c r="X27" s="21"/>
      <c r="Y27" s="22">
        <f>IF(AND(W27&lt;&gt;"",X27&lt;&gt;"",X27&gt;0),ROUND(W27/X27*100,1),IF(OR(T27="",N27=""),"",ROUND(T27*N27*100*(1-N(V27)/100),1)))</f>
      </c>
      <c r="Z27" s="23"/>
      <c r="AA27" s="23"/>
      <c r="AB27" s="23"/>
      <c r="AC27" s="23"/>
      <c r="AD27" s="24">
        <f>IF(AND(AA27="",AB27=""),"",ROUND(N(AA27)+N(AB27),4))</f>
      </c>
      <c r="AE27" s="23"/>
      <c r="AF27" s="25">
        <f>IF(OR(AD27="",AE27="",AE27=0),"",ROUND(AD27/AE27,2))</f>
      </c>
      <c r="AG27" s="20"/>
      <c r="AH27" s="20"/>
      <c r="AI27" s="20"/>
      <c r="AJ27" s="26">
        <f>IF(OR(AG27="",AH27="",AI27=""),"",IF(ABS(AG27+AH27+AI27-100)&gt;1,"CHECK SUM",IF(AND(AH27+1.5*AI27&lt;15),"Sand",IF(AND(AH27+1.5*AI27&gt;=15,AH27+2*AI27&lt;30),"Loamy sand",IF(OR(AND(AI27&gt;=7,AI27&lt;20,AG27&gt;52,AH27+2*AI27&gt;=30),AND(AI27&lt;7,AH27&lt;50,AG27&gt;43,AH27+2*AI27&gt;=30)),"Sandy loam",IF(AND(AI27&gt;=7,AI27&lt;27,AH27&gt;=28,AH27&lt;50,AG27&lt;=52),"Loam",IF(OR(AND(AH27&gt;=50,AI27&gt;=12,AI27&lt;27),AND(AH27&gt;=50,AH27&lt;80,AI27&lt;12)),"Silt loam",IF(AND(AH27&gt;=80,AI27&lt;12),"Silt",IF(AND(AI27&gt;=20,AI27&lt;35,AH27&lt;28,AG27&gt;45),"Sandy clay loam",IF(AND(AI27&gt;=27,AI27&lt;40,AG27&gt;20,AG27&lt;=45),"Clay loam",IF(AND(AI27&gt;=27,AI27&lt;40,AG27&lt;=20),"Silty clay loam",IF(AND(AI27&gt;=35,AG27&gt;45),"Sandy clay",IF(AND(AI27&gt;=40,AH27&gt;=40),"Silty clay",IF(AND(AI27&gt;=40,AG27&lt;=45,AH27&lt;40),"Clay",""))))))))))))))</f>
      </c>
      <c r="AK27" s="25">
        <f>IF(OR(AD27="",T27="",N27=""),"",ROUND(AD27*T27*N27*(1-N(V27)/100),2))</f>
      </c>
      <c r="AL27" s="26">
        <f>IF(B27="","",IF(NOT(AND(LEFT(B27,3)="OFM",LEN(B27)=13)),"Sample ID must be OFM + 10 digits",IF(AND(C27="SOC",AA27="",AB27=""),"TOC 400 / ROC 600 missing",IF(AND(Z27&lt;&gt;"",AA27&lt;&gt;"",AB27&lt;&gt;"",AC27&lt;&gt;"",ABS(Z27-AA27-AB27-AC27)&gt;0.1),"TC &lt;&gt; TOC400 + ROC600 + TIC900",IF(AND(Z27&lt;&gt;"",AD27&lt;&gt;"",Z27&lt;AD27-0.05),"TC &lt; TOC — impossible",IF(AND(T27&lt;&gt;"",OR(T27&lt;0.6,T27&gt;2.0)),"BD outside 0.6-2.0 — verify",IF(AND(C27="Texture",AJ27="CHECK SUM"),"Sand+Silt+Clay must total 100",IF(AND(AD27&lt;&gt;"",AD27&gt;15),"TOC &gt;15% — organic soil?",IF(AND(C27="SOC",W27="",X27=""),"No dry mass/area — ESM not possible","OK"))))))))</f>
      </c>
    </row>
    <row r="28" spans="1:38" x14ac:dyDescent="0.25">
      <c r="A28" s="15">
        <v>23</v>
      </c>
      <c r="B28" s="15"/>
      <c r="C28" s="15"/>
      <c r="D28" s="15"/>
      <c r="E28" s="15"/>
      <c r="F28" s="15"/>
      <c r="G28" s="15"/>
      <c r="H28" s="15"/>
      <c r="I28" s="15"/>
      <c r="J28" s="15"/>
      <c r="K28" s="16"/>
      <c r="L28" s="17"/>
      <c r="M28" s="17"/>
      <c r="N28" s="18">
        <f>IF(OR(L28="",M28=""),"",M28-L28)</f>
      </c>
      <c r="O28" s="15"/>
      <c r="P28" s="15"/>
      <c r="Q28" s="15"/>
      <c r="R28" s="16"/>
      <c r="S28" s="15"/>
      <c r="T28" s="19"/>
      <c r="U28" s="20"/>
      <c r="V28" s="20"/>
      <c r="W28" s="21"/>
      <c r="X28" s="21"/>
      <c r="Y28" s="22">
        <f>IF(AND(W28&lt;&gt;"",X28&lt;&gt;"",X28&gt;0),ROUND(W28/X28*100,1),IF(OR(T28="",N28=""),"",ROUND(T28*N28*100*(1-N(V28)/100),1)))</f>
      </c>
      <c r="Z28" s="23"/>
      <c r="AA28" s="23"/>
      <c r="AB28" s="23"/>
      <c r="AC28" s="23"/>
      <c r="AD28" s="24">
        <f>IF(AND(AA28="",AB28=""),"",ROUND(N(AA28)+N(AB28),4))</f>
      </c>
      <c r="AE28" s="23"/>
      <c r="AF28" s="25">
        <f>IF(OR(AD28="",AE28="",AE28=0),"",ROUND(AD28/AE28,2))</f>
      </c>
      <c r="AG28" s="20"/>
      <c r="AH28" s="20"/>
      <c r="AI28" s="20"/>
      <c r="AJ28" s="26">
        <f>IF(OR(AG28="",AH28="",AI28=""),"",IF(ABS(AG28+AH28+AI28-100)&gt;1,"CHECK SUM",IF(AND(AH28+1.5*AI28&lt;15),"Sand",IF(AND(AH28+1.5*AI28&gt;=15,AH28+2*AI28&lt;30),"Loamy sand",IF(OR(AND(AI28&gt;=7,AI28&lt;20,AG28&gt;52,AH28+2*AI28&gt;=30),AND(AI28&lt;7,AH28&lt;50,AG28&gt;43,AH28+2*AI28&gt;=30)),"Sandy loam",IF(AND(AI28&gt;=7,AI28&lt;27,AH28&gt;=28,AH28&lt;50,AG28&lt;=52),"Loam",IF(OR(AND(AH28&gt;=50,AI28&gt;=12,AI28&lt;27),AND(AH28&gt;=50,AH28&lt;80,AI28&lt;12)),"Silt loam",IF(AND(AH28&gt;=80,AI28&lt;12),"Silt",IF(AND(AI28&gt;=20,AI28&lt;35,AH28&lt;28,AG28&gt;45),"Sandy clay loam",IF(AND(AI28&gt;=27,AI28&lt;40,AG28&gt;20,AG28&lt;=45),"Clay loam",IF(AND(AI28&gt;=27,AI28&lt;40,AG28&lt;=20),"Silty clay loam",IF(AND(AI28&gt;=35,AG28&gt;45),"Sandy clay",IF(AND(AI28&gt;=40,AH28&gt;=40),"Silty clay",IF(AND(AI28&gt;=40,AG28&lt;=45,AH28&lt;40),"Clay",""))))))))))))))</f>
      </c>
      <c r="AK28" s="25">
        <f>IF(OR(AD28="",T28="",N28=""),"",ROUND(AD28*T28*N28*(1-N(V28)/100),2))</f>
      </c>
      <c r="AL28" s="26">
        <f>IF(B28="","",IF(NOT(AND(LEFT(B28,3)="OFM",LEN(B28)=13)),"Sample ID must be OFM + 10 digits",IF(AND(C28="SOC",AA28="",AB28=""),"TOC 400 / ROC 600 missing",IF(AND(Z28&lt;&gt;"",AA28&lt;&gt;"",AB28&lt;&gt;"",AC28&lt;&gt;"",ABS(Z28-AA28-AB28-AC28)&gt;0.1),"TC &lt;&gt; TOC400 + ROC600 + TIC900",IF(AND(Z28&lt;&gt;"",AD28&lt;&gt;"",Z28&lt;AD28-0.05),"TC &lt; TOC — impossible",IF(AND(T28&lt;&gt;"",OR(T28&lt;0.6,T28&gt;2.0)),"BD outside 0.6-2.0 — verify",IF(AND(C28="Texture",AJ28="CHECK SUM"),"Sand+Silt+Clay must total 100",IF(AND(AD28&lt;&gt;"",AD28&gt;15),"TOC &gt;15% — organic soil?",IF(AND(C28="SOC",W28="",X28=""),"No dry mass/area — ESM not possible","OK"))))))))</f>
      </c>
    </row>
    <row r="29" spans="1:38" x14ac:dyDescent="0.25">
      <c r="A29" s="15">
        <v>24</v>
      </c>
      <c r="B29" s="15"/>
      <c r="C29" s="15"/>
      <c r="D29" s="15"/>
      <c r="E29" s="15"/>
      <c r="F29" s="15"/>
      <c r="G29" s="15"/>
      <c r="H29" s="15"/>
      <c r="I29" s="15"/>
      <c r="J29" s="15"/>
      <c r="K29" s="16"/>
      <c r="L29" s="17"/>
      <c r="M29" s="17"/>
      <c r="N29" s="18">
        <f>IF(OR(L29="",M29=""),"",M29-L29)</f>
      </c>
      <c r="O29" s="15"/>
      <c r="P29" s="15"/>
      <c r="Q29" s="15"/>
      <c r="R29" s="16"/>
      <c r="S29" s="15"/>
      <c r="T29" s="19"/>
      <c r="U29" s="20"/>
      <c r="V29" s="20"/>
      <c r="W29" s="21"/>
      <c r="X29" s="21"/>
      <c r="Y29" s="22">
        <f>IF(AND(W29&lt;&gt;"",X29&lt;&gt;"",X29&gt;0),ROUND(W29/X29*100,1),IF(OR(T29="",N29=""),"",ROUND(T29*N29*100*(1-N(V29)/100),1)))</f>
      </c>
      <c r="Z29" s="23"/>
      <c r="AA29" s="23"/>
      <c r="AB29" s="23"/>
      <c r="AC29" s="23"/>
      <c r="AD29" s="24">
        <f>IF(AND(AA29="",AB29=""),"",ROUND(N(AA29)+N(AB29),4))</f>
      </c>
      <c r="AE29" s="23"/>
      <c r="AF29" s="25">
        <f>IF(OR(AD29="",AE29="",AE29=0),"",ROUND(AD29/AE29,2))</f>
      </c>
      <c r="AG29" s="20"/>
      <c r="AH29" s="20"/>
      <c r="AI29" s="20"/>
      <c r="AJ29" s="26">
        <f>IF(OR(AG29="",AH29="",AI29=""),"",IF(ABS(AG29+AH29+AI29-100)&gt;1,"CHECK SUM",IF(AND(AH29+1.5*AI29&lt;15),"Sand",IF(AND(AH29+1.5*AI29&gt;=15,AH29+2*AI29&lt;30),"Loamy sand",IF(OR(AND(AI29&gt;=7,AI29&lt;20,AG29&gt;52,AH29+2*AI29&gt;=30),AND(AI29&lt;7,AH29&lt;50,AG29&gt;43,AH29+2*AI29&gt;=30)),"Sandy loam",IF(AND(AI29&gt;=7,AI29&lt;27,AH29&gt;=28,AH29&lt;50,AG29&lt;=52),"Loam",IF(OR(AND(AH29&gt;=50,AI29&gt;=12,AI29&lt;27),AND(AH29&gt;=50,AH29&lt;80,AI29&lt;12)),"Silt loam",IF(AND(AH29&gt;=80,AI29&lt;12),"Silt",IF(AND(AI29&gt;=20,AI29&lt;35,AH29&lt;28,AG29&gt;45),"Sandy clay loam",IF(AND(AI29&gt;=27,AI29&lt;40,AG29&gt;20,AG29&lt;=45),"Clay loam",IF(AND(AI29&gt;=27,AI29&lt;40,AG29&lt;=20),"Silty clay loam",IF(AND(AI29&gt;=35,AG29&gt;45),"Sandy clay",IF(AND(AI29&gt;=40,AH29&gt;=40),"Silty clay",IF(AND(AI29&gt;=40,AG29&lt;=45,AH29&lt;40),"Clay",""))))))))))))))</f>
      </c>
      <c r="AK29" s="25">
        <f>IF(OR(AD29="",T29="",N29=""),"",ROUND(AD29*T29*N29*(1-N(V29)/100),2))</f>
      </c>
      <c r="AL29" s="26">
        <f>IF(B29="","",IF(NOT(AND(LEFT(B29,3)="OFM",LEN(B29)=13)),"Sample ID must be OFM + 10 digits",IF(AND(C29="SOC",AA29="",AB29=""),"TOC 400 / ROC 600 missing",IF(AND(Z29&lt;&gt;"",AA29&lt;&gt;"",AB29&lt;&gt;"",AC29&lt;&gt;"",ABS(Z29-AA29-AB29-AC29)&gt;0.1),"TC &lt;&gt; TOC400 + ROC600 + TIC900",IF(AND(Z29&lt;&gt;"",AD29&lt;&gt;"",Z29&lt;AD29-0.05),"TC &lt; TOC — impossible",IF(AND(T29&lt;&gt;"",OR(T29&lt;0.6,T29&gt;2.0)),"BD outside 0.6-2.0 — verify",IF(AND(C29="Texture",AJ29="CHECK SUM"),"Sand+Silt+Clay must total 100",IF(AND(AD29&lt;&gt;"",AD29&gt;15),"TOC &gt;15% — organic soil?",IF(AND(C29="SOC",W29="",X29=""),"No dry mass/area — ESM not possible","OK"))))))))</f>
      </c>
    </row>
    <row r="30" spans="1:38" x14ac:dyDescent="0.25">
      <c r="A30" s="15">
        <v>25</v>
      </c>
      <c r="B30" s="15"/>
      <c r="C30" s="15"/>
      <c r="D30" s="15"/>
      <c r="E30" s="15"/>
      <c r="F30" s="15"/>
      <c r="G30" s="15"/>
      <c r="H30" s="15"/>
      <c r="I30" s="15"/>
      <c r="J30" s="15"/>
      <c r="K30" s="16"/>
      <c r="L30" s="17"/>
      <c r="M30" s="17"/>
      <c r="N30" s="18">
        <f>IF(OR(L30="",M30=""),"",M30-L30)</f>
      </c>
      <c r="O30" s="15"/>
      <c r="P30" s="15"/>
      <c r="Q30" s="15"/>
      <c r="R30" s="16"/>
      <c r="S30" s="15"/>
      <c r="T30" s="19"/>
      <c r="U30" s="20"/>
      <c r="V30" s="20"/>
      <c r="W30" s="21"/>
      <c r="X30" s="21"/>
      <c r="Y30" s="22">
        <f>IF(AND(W30&lt;&gt;"",X30&lt;&gt;"",X30&gt;0),ROUND(W30/X30*100,1),IF(OR(T30="",N30=""),"",ROUND(T30*N30*100*(1-N(V30)/100),1)))</f>
      </c>
      <c r="Z30" s="23"/>
      <c r="AA30" s="23"/>
      <c r="AB30" s="23"/>
      <c r="AC30" s="23"/>
      <c r="AD30" s="24">
        <f>IF(AND(AA30="",AB30=""),"",ROUND(N(AA30)+N(AB30),4))</f>
      </c>
      <c r="AE30" s="23"/>
      <c r="AF30" s="25">
        <f>IF(OR(AD30="",AE30="",AE30=0),"",ROUND(AD30/AE30,2))</f>
      </c>
      <c r="AG30" s="20"/>
      <c r="AH30" s="20"/>
      <c r="AI30" s="20"/>
      <c r="AJ30" s="26">
        <f>IF(OR(AG30="",AH30="",AI30=""),"",IF(ABS(AG30+AH30+AI30-100)&gt;1,"CHECK SUM",IF(AND(AH30+1.5*AI30&lt;15),"Sand",IF(AND(AH30+1.5*AI30&gt;=15,AH30+2*AI30&lt;30),"Loamy sand",IF(OR(AND(AI30&gt;=7,AI30&lt;20,AG30&gt;52,AH30+2*AI30&gt;=30),AND(AI30&lt;7,AH30&lt;50,AG30&gt;43,AH30+2*AI30&gt;=30)),"Sandy loam",IF(AND(AI30&gt;=7,AI30&lt;27,AH30&gt;=28,AH30&lt;50,AG30&lt;=52),"Loam",IF(OR(AND(AH30&gt;=50,AI30&gt;=12,AI30&lt;27),AND(AH30&gt;=50,AH30&lt;80,AI30&lt;12)),"Silt loam",IF(AND(AH30&gt;=80,AI30&lt;12),"Silt",IF(AND(AI30&gt;=20,AI30&lt;35,AH30&lt;28,AG30&gt;45),"Sandy clay loam",IF(AND(AI30&gt;=27,AI30&lt;40,AG30&gt;20,AG30&lt;=45),"Clay loam",IF(AND(AI30&gt;=27,AI30&lt;40,AG30&lt;=20),"Silty clay loam",IF(AND(AI30&gt;=35,AG30&gt;45),"Sandy clay",IF(AND(AI30&gt;=40,AH30&gt;=40),"Silty clay",IF(AND(AI30&gt;=40,AG30&lt;=45,AH30&lt;40),"Clay",""))))))))))))))</f>
      </c>
      <c r="AK30" s="25">
        <f>IF(OR(AD30="",T30="",N30=""),"",ROUND(AD30*T30*N30*(1-N(V30)/100),2))</f>
      </c>
      <c r="AL30" s="26">
        <f>IF(B30="","",IF(NOT(AND(LEFT(B30,3)="OFM",LEN(B30)=13)),"Sample ID must be OFM + 10 digits",IF(AND(C30="SOC",AA30="",AB30=""),"TOC 400 / ROC 600 missing",IF(AND(Z30&lt;&gt;"",AA30&lt;&gt;"",AB30&lt;&gt;"",AC30&lt;&gt;"",ABS(Z30-AA30-AB30-AC30)&gt;0.1),"TC &lt;&gt; TOC400 + ROC600 + TIC900",IF(AND(Z30&lt;&gt;"",AD30&lt;&gt;"",Z30&lt;AD30-0.05),"TC &lt; TOC — impossible",IF(AND(T30&lt;&gt;"",OR(T30&lt;0.6,T30&gt;2.0)),"BD outside 0.6-2.0 — verify",IF(AND(C30="Texture",AJ30="CHECK SUM"),"Sand+Silt+Clay must total 100",IF(AND(AD30&lt;&gt;"",AD30&gt;15),"TOC &gt;15% — organic soil?",IF(AND(C30="SOC",W30="",X30=""),"No dry mass/area — ESM not possible","OK"))))))))</f>
      </c>
    </row>
    <row r="31" spans="1:38" x14ac:dyDescent="0.25">
      <c r="A31" s="15">
        <v>26</v>
      </c>
      <c r="B31" s="15"/>
      <c r="C31" s="15"/>
      <c r="D31" s="15"/>
      <c r="E31" s="15"/>
      <c r="F31" s="15"/>
      <c r="G31" s="15"/>
      <c r="H31" s="15"/>
      <c r="I31" s="15"/>
      <c r="J31" s="15"/>
      <c r="K31" s="16"/>
      <c r="L31" s="17"/>
      <c r="M31" s="17"/>
      <c r="N31" s="18">
        <f>IF(OR(L31="",M31=""),"",M31-L31)</f>
      </c>
      <c r="O31" s="15"/>
      <c r="P31" s="15"/>
      <c r="Q31" s="15"/>
      <c r="R31" s="16"/>
      <c r="S31" s="15"/>
      <c r="T31" s="19"/>
      <c r="U31" s="20"/>
      <c r="V31" s="20"/>
      <c r="W31" s="21"/>
      <c r="X31" s="21"/>
      <c r="Y31" s="22">
        <f>IF(AND(W31&lt;&gt;"",X31&lt;&gt;"",X31&gt;0),ROUND(W31/X31*100,1),IF(OR(T31="",N31=""),"",ROUND(T31*N31*100*(1-N(V31)/100),1)))</f>
      </c>
      <c r="Z31" s="23"/>
      <c r="AA31" s="23"/>
      <c r="AB31" s="23"/>
      <c r="AC31" s="23"/>
      <c r="AD31" s="24">
        <f>IF(AND(AA31="",AB31=""),"",ROUND(N(AA31)+N(AB31),4))</f>
      </c>
      <c r="AE31" s="23"/>
      <c r="AF31" s="25">
        <f>IF(OR(AD31="",AE31="",AE31=0),"",ROUND(AD31/AE31,2))</f>
      </c>
      <c r="AG31" s="20"/>
      <c r="AH31" s="20"/>
      <c r="AI31" s="20"/>
      <c r="AJ31" s="26">
        <f>IF(OR(AG31="",AH31="",AI31=""),"",IF(ABS(AG31+AH31+AI31-100)&gt;1,"CHECK SUM",IF(AND(AH31+1.5*AI31&lt;15),"Sand",IF(AND(AH31+1.5*AI31&gt;=15,AH31+2*AI31&lt;30),"Loamy sand",IF(OR(AND(AI31&gt;=7,AI31&lt;20,AG31&gt;52,AH31+2*AI31&gt;=30),AND(AI31&lt;7,AH31&lt;50,AG31&gt;43,AH31+2*AI31&gt;=30)),"Sandy loam",IF(AND(AI31&gt;=7,AI31&lt;27,AH31&gt;=28,AH31&lt;50,AG31&lt;=52),"Loam",IF(OR(AND(AH31&gt;=50,AI31&gt;=12,AI31&lt;27),AND(AH31&gt;=50,AH31&lt;80,AI31&lt;12)),"Silt loam",IF(AND(AH31&gt;=80,AI31&lt;12),"Silt",IF(AND(AI31&gt;=20,AI31&lt;35,AH31&lt;28,AG31&gt;45),"Sandy clay loam",IF(AND(AI31&gt;=27,AI31&lt;40,AG31&gt;20,AG31&lt;=45),"Clay loam",IF(AND(AI31&gt;=27,AI31&lt;40,AG31&lt;=20),"Silty clay loam",IF(AND(AI31&gt;=35,AG31&gt;45),"Sandy clay",IF(AND(AI31&gt;=40,AH31&gt;=40),"Silty clay",IF(AND(AI31&gt;=40,AG31&lt;=45,AH31&lt;40),"Clay",""))))))))))))))</f>
      </c>
      <c r="AK31" s="25">
        <f>IF(OR(AD31="",T31="",N31=""),"",ROUND(AD31*T31*N31*(1-N(V31)/100),2))</f>
      </c>
      <c r="AL31" s="26">
        <f>IF(B31="","",IF(NOT(AND(LEFT(B31,3)="OFM",LEN(B31)=13)),"Sample ID must be OFM + 10 digits",IF(AND(C31="SOC",AA31="",AB31=""),"TOC 400 / ROC 600 missing",IF(AND(Z31&lt;&gt;"",AA31&lt;&gt;"",AB31&lt;&gt;"",AC31&lt;&gt;"",ABS(Z31-AA31-AB31-AC31)&gt;0.1),"TC &lt;&gt; TOC400 + ROC600 + TIC900",IF(AND(Z31&lt;&gt;"",AD31&lt;&gt;"",Z31&lt;AD31-0.05),"TC &lt; TOC — impossible",IF(AND(T31&lt;&gt;"",OR(T31&lt;0.6,T31&gt;2.0)),"BD outside 0.6-2.0 — verify",IF(AND(C31="Texture",AJ31="CHECK SUM"),"Sand+Silt+Clay must total 100",IF(AND(AD31&lt;&gt;"",AD31&gt;15),"TOC &gt;15% — organic soil?",IF(AND(C31="SOC",W31="",X31=""),"No dry mass/area — ESM not possible","OK"))))))))</f>
      </c>
    </row>
    <row r="32" spans="1:38" x14ac:dyDescent="0.25">
      <c r="A32" s="15">
        <v>27</v>
      </c>
      <c r="B32" s="15"/>
      <c r="C32" s="15"/>
      <c r="D32" s="15"/>
      <c r="E32" s="15"/>
      <c r="F32" s="15"/>
      <c r="G32" s="15"/>
      <c r="H32" s="15"/>
      <c r="I32" s="15"/>
      <c r="J32" s="15"/>
      <c r="K32" s="16"/>
      <c r="L32" s="17"/>
      <c r="M32" s="17"/>
      <c r="N32" s="18">
        <f>IF(OR(L32="",M32=""),"",M32-L32)</f>
      </c>
      <c r="O32" s="15"/>
      <c r="P32" s="15"/>
      <c r="Q32" s="15"/>
      <c r="R32" s="16"/>
      <c r="S32" s="15"/>
      <c r="T32" s="19"/>
      <c r="U32" s="20"/>
      <c r="V32" s="20"/>
      <c r="W32" s="21"/>
      <c r="X32" s="21"/>
      <c r="Y32" s="22">
        <f>IF(AND(W32&lt;&gt;"",X32&lt;&gt;"",X32&gt;0),ROUND(W32/X32*100,1),IF(OR(T32="",N32=""),"",ROUND(T32*N32*100*(1-N(V32)/100),1)))</f>
      </c>
      <c r="Z32" s="23"/>
      <c r="AA32" s="23"/>
      <c r="AB32" s="23"/>
      <c r="AC32" s="23"/>
      <c r="AD32" s="24">
        <f>IF(AND(AA32="",AB32=""),"",ROUND(N(AA32)+N(AB32),4))</f>
      </c>
      <c r="AE32" s="23"/>
      <c r="AF32" s="25">
        <f>IF(OR(AD32="",AE32="",AE32=0),"",ROUND(AD32/AE32,2))</f>
      </c>
      <c r="AG32" s="20"/>
      <c r="AH32" s="20"/>
      <c r="AI32" s="20"/>
      <c r="AJ32" s="26">
        <f>IF(OR(AG32="",AH32="",AI32=""),"",IF(ABS(AG32+AH32+AI32-100)&gt;1,"CHECK SUM",IF(AND(AH32+1.5*AI32&lt;15),"Sand",IF(AND(AH32+1.5*AI32&gt;=15,AH32+2*AI32&lt;30),"Loamy sand",IF(OR(AND(AI32&gt;=7,AI32&lt;20,AG32&gt;52,AH32+2*AI32&gt;=30),AND(AI32&lt;7,AH32&lt;50,AG32&gt;43,AH32+2*AI32&gt;=30)),"Sandy loam",IF(AND(AI32&gt;=7,AI32&lt;27,AH32&gt;=28,AH32&lt;50,AG32&lt;=52),"Loam",IF(OR(AND(AH32&gt;=50,AI32&gt;=12,AI32&lt;27),AND(AH32&gt;=50,AH32&lt;80,AI32&lt;12)),"Silt loam",IF(AND(AH32&gt;=80,AI32&lt;12),"Silt",IF(AND(AI32&gt;=20,AI32&lt;35,AH32&lt;28,AG32&gt;45),"Sandy clay loam",IF(AND(AI32&gt;=27,AI32&lt;40,AG32&gt;20,AG32&lt;=45),"Clay loam",IF(AND(AI32&gt;=27,AI32&lt;40,AG32&lt;=20),"Silty clay loam",IF(AND(AI32&gt;=35,AG32&gt;45),"Sandy clay",IF(AND(AI32&gt;=40,AH32&gt;=40),"Silty clay",IF(AND(AI32&gt;=40,AG32&lt;=45,AH32&lt;40),"Clay",""))))))))))))))</f>
      </c>
      <c r="AK32" s="25">
        <f>IF(OR(AD32="",T32="",N32=""),"",ROUND(AD32*T32*N32*(1-N(V32)/100),2))</f>
      </c>
      <c r="AL32" s="26">
        <f>IF(B32="","",IF(NOT(AND(LEFT(B32,3)="OFM",LEN(B32)=13)),"Sample ID must be OFM + 10 digits",IF(AND(C32="SOC",AA32="",AB32=""),"TOC 400 / ROC 600 missing",IF(AND(Z32&lt;&gt;"",AA32&lt;&gt;"",AB32&lt;&gt;"",AC32&lt;&gt;"",ABS(Z32-AA32-AB32-AC32)&gt;0.1),"TC &lt;&gt; TOC400 + ROC600 + TIC900",IF(AND(Z32&lt;&gt;"",AD32&lt;&gt;"",Z32&lt;AD32-0.05),"TC &lt; TOC — impossible",IF(AND(T32&lt;&gt;"",OR(T32&lt;0.6,T32&gt;2.0)),"BD outside 0.6-2.0 — verify",IF(AND(C32="Texture",AJ32="CHECK SUM"),"Sand+Silt+Clay must total 100",IF(AND(AD32&lt;&gt;"",AD32&gt;15),"TOC &gt;15% — organic soil?",IF(AND(C32="SOC",W32="",X32=""),"No dry mass/area — ESM not possible","OK"))))))))</f>
      </c>
    </row>
    <row r="33" spans="1:38" x14ac:dyDescent="0.25">
      <c r="A33" s="15">
        <v>28</v>
      </c>
      <c r="B33" s="15"/>
      <c r="C33" s="15"/>
      <c r="D33" s="15"/>
      <c r="E33" s="15"/>
      <c r="F33" s="15"/>
      <c r="G33" s="15"/>
      <c r="H33" s="15"/>
      <c r="I33" s="15"/>
      <c r="J33" s="15"/>
      <c r="K33" s="16"/>
      <c r="L33" s="17"/>
      <c r="M33" s="17"/>
      <c r="N33" s="18">
        <f>IF(OR(L33="",M33=""),"",M33-L33)</f>
      </c>
      <c r="O33" s="15"/>
      <c r="P33" s="15"/>
      <c r="Q33" s="15"/>
      <c r="R33" s="16"/>
      <c r="S33" s="15"/>
      <c r="T33" s="19"/>
      <c r="U33" s="20"/>
      <c r="V33" s="20"/>
      <c r="W33" s="21"/>
      <c r="X33" s="21"/>
      <c r="Y33" s="22">
        <f>IF(AND(W33&lt;&gt;"",X33&lt;&gt;"",X33&gt;0),ROUND(W33/X33*100,1),IF(OR(T33="",N33=""),"",ROUND(T33*N33*100*(1-N(V33)/100),1)))</f>
      </c>
      <c r="Z33" s="23"/>
      <c r="AA33" s="23"/>
      <c r="AB33" s="23"/>
      <c r="AC33" s="23"/>
      <c r="AD33" s="24">
        <f>IF(AND(AA33="",AB33=""),"",ROUND(N(AA33)+N(AB33),4))</f>
      </c>
      <c r="AE33" s="23"/>
      <c r="AF33" s="25">
        <f>IF(OR(AD33="",AE33="",AE33=0),"",ROUND(AD33/AE33,2))</f>
      </c>
      <c r="AG33" s="20"/>
      <c r="AH33" s="20"/>
      <c r="AI33" s="20"/>
      <c r="AJ33" s="26">
        <f>IF(OR(AG33="",AH33="",AI33=""),"",IF(ABS(AG33+AH33+AI33-100)&gt;1,"CHECK SUM",IF(AND(AH33+1.5*AI33&lt;15),"Sand",IF(AND(AH33+1.5*AI33&gt;=15,AH33+2*AI33&lt;30),"Loamy sand",IF(OR(AND(AI33&gt;=7,AI33&lt;20,AG33&gt;52,AH33+2*AI33&gt;=30),AND(AI33&lt;7,AH33&lt;50,AG33&gt;43,AH33+2*AI33&gt;=30)),"Sandy loam",IF(AND(AI33&gt;=7,AI33&lt;27,AH33&gt;=28,AH33&lt;50,AG33&lt;=52),"Loam",IF(OR(AND(AH33&gt;=50,AI33&gt;=12,AI33&lt;27),AND(AH33&gt;=50,AH33&lt;80,AI33&lt;12)),"Silt loam",IF(AND(AH33&gt;=80,AI33&lt;12),"Silt",IF(AND(AI33&gt;=20,AI33&lt;35,AH33&lt;28,AG33&gt;45),"Sandy clay loam",IF(AND(AI33&gt;=27,AI33&lt;40,AG33&gt;20,AG33&lt;=45),"Clay loam",IF(AND(AI33&gt;=27,AI33&lt;40,AG33&lt;=20),"Silty clay loam",IF(AND(AI33&gt;=35,AG33&gt;45),"Sandy clay",IF(AND(AI33&gt;=40,AH33&gt;=40),"Silty clay",IF(AND(AI33&gt;=40,AG33&lt;=45,AH33&lt;40),"Clay",""))))))))))))))</f>
      </c>
      <c r="AK33" s="25">
        <f>IF(OR(AD33="",T33="",N33=""),"",ROUND(AD33*T33*N33*(1-N(V33)/100),2))</f>
      </c>
      <c r="AL33" s="26">
        <f>IF(B33="","",IF(NOT(AND(LEFT(B33,3)="OFM",LEN(B33)=13)),"Sample ID must be OFM + 10 digits",IF(AND(C33="SOC",AA33="",AB33=""),"TOC 400 / ROC 600 missing",IF(AND(Z33&lt;&gt;"",AA33&lt;&gt;"",AB33&lt;&gt;"",AC33&lt;&gt;"",ABS(Z33-AA33-AB33-AC33)&gt;0.1),"TC &lt;&gt; TOC400 + ROC600 + TIC900",IF(AND(Z33&lt;&gt;"",AD33&lt;&gt;"",Z33&lt;AD33-0.05),"TC &lt; TOC — impossible",IF(AND(T33&lt;&gt;"",OR(T33&lt;0.6,T33&gt;2.0)),"BD outside 0.6-2.0 — verify",IF(AND(C33="Texture",AJ33="CHECK SUM"),"Sand+Silt+Clay must total 100",IF(AND(AD33&lt;&gt;"",AD33&gt;15),"TOC &gt;15% — organic soil?",IF(AND(C33="SOC",W33="",X33=""),"No dry mass/area — ESM not possible","OK"))))))))</f>
      </c>
    </row>
    <row r="34" spans="1:38" x14ac:dyDescent="0.25">
      <c r="A34" s="15">
        <v>29</v>
      </c>
      <c r="B34" s="15"/>
      <c r="C34" s="15"/>
      <c r="D34" s="15"/>
      <c r="E34" s="15"/>
      <c r="F34" s="15"/>
      <c r="G34" s="15"/>
      <c r="H34" s="15"/>
      <c r="I34" s="15"/>
      <c r="J34" s="15"/>
      <c r="K34" s="16"/>
      <c r="L34" s="17"/>
      <c r="M34" s="17"/>
      <c r="N34" s="18">
        <f>IF(OR(L34="",M34=""),"",M34-L34)</f>
      </c>
      <c r="O34" s="15"/>
      <c r="P34" s="15"/>
      <c r="Q34" s="15"/>
      <c r="R34" s="16"/>
      <c r="S34" s="15"/>
      <c r="T34" s="19"/>
      <c r="U34" s="20"/>
      <c r="V34" s="20"/>
      <c r="W34" s="21"/>
      <c r="X34" s="21"/>
      <c r="Y34" s="22">
        <f>IF(AND(W34&lt;&gt;"",X34&lt;&gt;"",X34&gt;0),ROUND(W34/X34*100,1),IF(OR(T34="",N34=""),"",ROUND(T34*N34*100*(1-N(V34)/100),1)))</f>
      </c>
      <c r="Z34" s="23"/>
      <c r="AA34" s="23"/>
      <c r="AB34" s="23"/>
      <c r="AC34" s="23"/>
      <c r="AD34" s="24">
        <f>IF(AND(AA34="",AB34=""),"",ROUND(N(AA34)+N(AB34),4))</f>
      </c>
      <c r="AE34" s="23"/>
      <c r="AF34" s="25">
        <f>IF(OR(AD34="",AE34="",AE34=0),"",ROUND(AD34/AE34,2))</f>
      </c>
      <c r="AG34" s="20"/>
      <c r="AH34" s="20"/>
      <c r="AI34" s="20"/>
      <c r="AJ34" s="26">
        <f>IF(OR(AG34="",AH34="",AI34=""),"",IF(ABS(AG34+AH34+AI34-100)&gt;1,"CHECK SUM",IF(AND(AH34+1.5*AI34&lt;15),"Sand",IF(AND(AH34+1.5*AI34&gt;=15,AH34+2*AI34&lt;30),"Loamy sand",IF(OR(AND(AI34&gt;=7,AI34&lt;20,AG34&gt;52,AH34+2*AI34&gt;=30),AND(AI34&lt;7,AH34&lt;50,AG34&gt;43,AH34+2*AI34&gt;=30)),"Sandy loam",IF(AND(AI34&gt;=7,AI34&lt;27,AH34&gt;=28,AH34&lt;50,AG34&lt;=52),"Loam",IF(OR(AND(AH34&gt;=50,AI34&gt;=12,AI34&lt;27),AND(AH34&gt;=50,AH34&lt;80,AI34&lt;12)),"Silt loam",IF(AND(AH34&gt;=80,AI34&lt;12),"Silt",IF(AND(AI34&gt;=20,AI34&lt;35,AH34&lt;28,AG34&gt;45),"Sandy clay loam",IF(AND(AI34&gt;=27,AI34&lt;40,AG34&gt;20,AG34&lt;=45),"Clay loam",IF(AND(AI34&gt;=27,AI34&lt;40,AG34&lt;=20),"Silty clay loam",IF(AND(AI34&gt;=35,AG34&gt;45),"Sandy clay",IF(AND(AI34&gt;=40,AH34&gt;=40),"Silty clay",IF(AND(AI34&gt;=40,AG34&lt;=45,AH34&lt;40),"Clay",""))))))))))))))</f>
      </c>
      <c r="AK34" s="25">
        <f>IF(OR(AD34="",T34="",N34=""),"",ROUND(AD34*T34*N34*(1-N(V34)/100),2))</f>
      </c>
      <c r="AL34" s="26">
        <f>IF(B34="","",IF(NOT(AND(LEFT(B34,3)="OFM",LEN(B34)=13)),"Sample ID must be OFM + 10 digits",IF(AND(C34="SOC",AA34="",AB34=""),"TOC 400 / ROC 600 missing",IF(AND(Z34&lt;&gt;"",AA34&lt;&gt;"",AB34&lt;&gt;"",AC34&lt;&gt;"",ABS(Z34-AA34-AB34-AC34)&gt;0.1),"TC &lt;&gt; TOC400 + ROC600 + TIC900",IF(AND(Z34&lt;&gt;"",AD34&lt;&gt;"",Z34&lt;AD34-0.05),"TC &lt; TOC — impossible",IF(AND(T34&lt;&gt;"",OR(T34&lt;0.6,T34&gt;2.0)),"BD outside 0.6-2.0 — verify",IF(AND(C34="Texture",AJ34="CHECK SUM"),"Sand+Silt+Clay must total 100",IF(AND(AD34&lt;&gt;"",AD34&gt;15),"TOC &gt;15% — organic soil?",IF(AND(C34="SOC",W34="",X34=""),"No dry mass/area — ESM not possible","OK"))))))))</f>
      </c>
    </row>
    <row r="35" spans="1:38" x14ac:dyDescent="0.25">
      <c r="A35" s="15">
        <v>30</v>
      </c>
      <c r="B35" s="15"/>
      <c r="C35" s="15"/>
      <c r="D35" s="15"/>
      <c r="E35" s="15"/>
      <c r="F35" s="15"/>
      <c r="G35" s="15"/>
      <c r="H35" s="15"/>
      <c r="I35" s="15"/>
      <c r="J35" s="15"/>
      <c r="K35" s="16"/>
      <c r="L35" s="17"/>
      <c r="M35" s="17"/>
      <c r="N35" s="18">
        <f>IF(OR(L35="",M35=""),"",M35-L35)</f>
      </c>
      <c r="O35" s="15"/>
      <c r="P35" s="15"/>
      <c r="Q35" s="15"/>
      <c r="R35" s="16"/>
      <c r="S35" s="15"/>
      <c r="T35" s="19"/>
      <c r="U35" s="20"/>
      <c r="V35" s="20"/>
      <c r="W35" s="21"/>
      <c r="X35" s="21"/>
      <c r="Y35" s="22">
        <f>IF(AND(W35&lt;&gt;"",X35&lt;&gt;"",X35&gt;0),ROUND(W35/X35*100,1),IF(OR(T35="",N35=""),"",ROUND(T35*N35*100*(1-N(V35)/100),1)))</f>
      </c>
      <c r="Z35" s="23"/>
      <c r="AA35" s="23"/>
      <c r="AB35" s="23"/>
      <c r="AC35" s="23"/>
      <c r="AD35" s="24">
        <f>IF(AND(AA35="",AB35=""),"",ROUND(N(AA35)+N(AB35),4))</f>
      </c>
      <c r="AE35" s="23"/>
      <c r="AF35" s="25">
        <f>IF(OR(AD35="",AE35="",AE35=0),"",ROUND(AD35/AE35,2))</f>
      </c>
      <c r="AG35" s="20"/>
      <c r="AH35" s="20"/>
      <c r="AI35" s="20"/>
      <c r="AJ35" s="26">
        <f>IF(OR(AG35="",AH35="",AI35=""),"",IF(ABS(AG35+AH35+AI35-100)&gt;1,"CHECK SUM",IF(AND(AH35+1.5*AI35&lt;15),"Sand",IF(AND(AH35+1.5*AI35&gt;=15,AH35+2*AI35&lt;30),"Loamy sand",IF(OR(AND(AI35&gt;=7,AI35&lt;20,AG35&gt;52,AH35+2*AI35&gt;=30),AND(AI35&lt;7,AH35&lt;50,AG35&gt;43,AH35+2*AI35&gt;=30)),"Sandy loam",IF(AND(AI35&gt;=7,AI35&lt;27,AH35&gt;=28,AH35&lt;50,AG35&lt;=52),"Loam",IF(OR(AND(AH35&gt;=50,AI35&gt;=12,AI35&lt;27),AND(AH35&gt;=50,AH35&lt;80,AI35&lt;12)),"Silt loam",IF(AND(AH35&gt;=80,AI35&lt;12),"Silt",IF(AND(AI35&gt;=20,AI35&lt;35,AH35&lt;28,AG35&gt;45),"Sandy clay loam",IF(AND(AI35&gt;=27,AI35&lt;40,AG35&gt;20,AG35&lt;=45),"Clay loam",IF(AND(AI35&gt;=27,AI35&lt;40,AG35&lt;=20),"Silty clay loam",IF(AND(AI35&gt;=35,AG35&gt;45),"Sandy clay",IF(AND(AI35&gt;=40,AH35&gt;=40),"Silty clay",IF(AND(AI35&gt;=40,AG35&lt;=45,AH35&lt;40),"Clay",""))))))))))))))</f>
      </c>
      <c r="AK35" s="25">
        <f>IF(OR(AD35="",T35="",N35=""),"",ROUND(AD35*T35*N35*(1-N(V35)/100),2))</f>
      </c>
      <c r="AL35" s="26">
        <f>IF(B35="","",IF(NOT(AND(LEFT(B35,3)="OFM",LEN(B35)=13)),"Sample ID must be OFM + 10 digits",IF(AND(C35="SOC",AA35="",AB35=""),"TOC 400 / ROC 600 missing",IF(AND(Z35&lt;&gt;"",AA35&lt;&gt;"",AB35&lt;&gt;"",AC35&lt;&gt;"",ABS(Z35-AA35-AB35-AC35)&gt;0.1),"TC &lt;&gt; TOC400 + ROC600 + TIC900",IF(AND(Z35&lt;&gt;"",AD35&lt;&gt;"",Z35&lt;AD35-0.05),"TC &lt; TOC — impossible",IF(AND(T35&lt;&gt;"",OR(T35&lt;0.6,T35&gt;2.0)),"BD outside 0.6-2.0 — verify",IF(AND(C35="Texture",AJ35="CHECK SUM"),"Sand+Silt+Clay must total 100",IF(AND(AD35&lt;&gt;"",AD35&gt;15),"TOC &gt;15% — organic soil?",IF(AND(C35="SOC",W35="",X35=""),"No dry mass/area — ESM not possible","OK"))))))))</f>
      </c>
    </row>
    <row r="36" spans="1:38" x14ac:dyDescent="0.25">
      <c r="A36" s="15">
        <v>31</v>
      </c>
      <c r="B36" s="15"/>
      <c r="C36" s="15"/>
      <c r="D36" s="15"/>
      <c r="E36" s="15"/>
      <c r="F36" s="15"/>
      <c r="G36" s="15"/>
      <c r="H36" s="15"/>
      <c r="I36" s="15"/>
      <c r="J36" s="15"/>
      <c r="K36" s="16"/>
      <c r="L36" s="17"/>
      <c r="M36" s="17"/>
      <c r="N36" s="18">
        <f>IF(OR(L36="",M36=""),"",M36-L36)</f>
      </c>
      <c r="O36" s="15"/>
      <c r="P36" s="15"/>
      <c r="Q36" s="15"/>
      <c r="R36" s="16"/>
      <c r="S36" s="15"/>
      <c r="T36" s="19"/>
      <c r="U36" s="20"/>
      <c r="V36" s="20"/>
      <c r="W36" s="21"/>
      <c r="X36" s="21"/>
      <c r="Y36" s="22">
        <f>IF(AND(W36&lt;&gt;"",X36&lt;&gt;"",X36&gt;0),ROUND(W36/X36*100,1),IF(OR(T36="",N36=""),"",ROUND(T36*N36*100*(1-N(V36)/100),1)))</f>
      </c>
      <c r="Z36" s="23"/>
      <c r="AA36" s="23"/>
      <c r="AB36" s="23"/>
      <c r="AC36" s="23"/>
      <c r="AD36" s="24">
        <f>IF(AND(AA36="",AB36=""),"",ROUND(N(AA36)+N(AB36),4))</f>
      </c>
      <c r="AE36" s="23"/>
      <c r="AF36" s="25">
        <f>IF(OR(AD36="",AE36="",AE36=0),"",ROUND(AD36/AE36,2))</f>
      </c>
      <c r="AG36" s="20"/>
      <c r="AH36" s="20"/>
      <c r="AI36" s="20"/>
      <c r="AJ36" s="26">
        <f>IF(OR(AG36="",AH36="",AI36=""),"",IF(ABS(AG36+AH36+AI36-100)&gt;1,"CHECK SUM",IF(AND(AH36+1.5*AI36&lt;15),"Sand",IF(AND(AH36+1.5*AI36&gt;=15,AH36+2*AI36&lt;30),"Loamy sand",IF(OR(AND(AI36&gt;=7,AI36&lt;20,AG36&gt;52,AH36+2*AI36&gt;=30),AND(AI36&lt;7,AH36&lt;50,AG36&gt;43,AH36+2*AI36&gt;=30)),"Sandy loam",IF(AND(AI36&gt;=7,AI36&lt;27,AH36&gt;=28,AH36&lt;50,AG36&lt;=52),"Loam",IF(OR(AND(AH36&gt;=50,AI36&gt;=12,AI36&lt;27),AND(AH36&gt;=50,AH36&lt;80,AI36&lt;12)),"Silt loam",IF(AND(AH36&gt;=80,AI36&lt;12),"Silt",IF(AND(AI36&gt;=20,AI36&lt;35,AH36&lt;28,AG36&gt;45),"Sandy clay loam",IF(AND(AI36&gt;=27,AI36&lt;40,AG36&gt;20,AG36&lt;=45),"Clay loam",IF(AND(AI36&gt;=27,AI36&lt;40,AG36&lt;=20),"Silty clay loam",IF(AND(AI36&gt;=35,AG36&gt;45),"Sandy clay",IF(AND(AI36&gt;=40,AH36&gt;=40),"Silty clay",IF(AND(AI36&gt;=40,AG36&lt;=45,AH36&lt;40),"Clay",""))))))))))))))</f>
      </c>
      <c r="AK36" s="25">
        <f>IF(OR(AD36="",T36="",N36=""),"",ROUND(AD36*T36*N36*(1-N(V36)/100),2))</f>
      </c>
      <c r="AL36" s="26">
        <f>IF(B36="","",IF(NOT(AND(LEFT(B36,3)="OFM",LEN(B36)=13)),"Sample ID must be OFM + 10 digits",IF(AND(C36="SOC",AA36="",AB36=""),"TOC 400 / ROC 600 missing",IF(AND(Z36&lt;&gt;"",AA36&lt;&gt;"",AB36&lt;&gt;"",AC36&lt;&gt;"",ABS(Z36-AA36-AB36-AC36)&gt;0.1),"TC &lt;&gt; TOC400 + ROC600 + TIC900",IF(AND(Z36&lt;&gt;"",AD36&lt;&gt;"",Z36&lt;AD36-0.05),"TC &lt; TOC — impossible",IF(AND(T36&lt;&gt;"",OR(T36&lt;0.6,T36&gt;2.0)),"BD outside 0.6-2.0 — verify",IF(AND(C36="Texture",AJ36="CHECK SUM"),"Sand+Silt+Clay must total 100",IF(AND(AD36&lt;&gt;"",AD36&gt;15),"TOC &gt;15% — organic soil?",IF(AND(C36="SOC",W36="",X36=""),"No dry mass/area — ESM not possible","OK"))))))))</f>
      </c>
    </row>
    <row r="37" spans="1:38" x14ac:dyDescent="0.25">
      <c r="A37" s="15">
        <v>32</v>
      </c>
      <c r="B37" s="15"/>
      <c r="C37" s="15"/>
      <c r="D37" s="15"/>
      <c r="E37" s="15"/>
      <c r="F37" s="15"/>
      <c r="G37" s="15"/>
      <c r="H37" s="15"/>
      <c r="I37" s="15"/>
      <c r="J37" s="15"/>
      <c r="K37" s="16"/>
      <c r="L37" s="17"/>
      <c r="M37" s="17"/>
      <c r="N37" s="18">
        <f>IF(OR(L37="",M37=""),"",M37-L37)</f>
      </c>
      <c r="O37" s="15"/>
      <c r="P37" s="15"/>
      <c r="Q37" s="15"/>
      <c r="R37" s="16"/>
      <c r="S37" s="15"/>
      <c r="T37" s="19"/>
      <c r="U37" s="20"/>
      <c r="V37" s="20"/>
      <c r="W37" s="21"/>
      <c r="X37" s="21"/>
      <c r="Y37" s="22">
        <f>IF(AND(W37&lt;&gt;"",X37&lt;&gt;"",X37&gt;0),ROUND(W37/X37*100,1),IF(OR(T37="",N37=""),"",ROUND(T37*N37*100*(1-N(V37)/100),1)))</f>
      </c>
      <c r="Z37" s="23"/>
      <c r="AA37" s="23"/>
      <c r="AB37" s="23"/>
      <c r="AC37" s="23"/>
      <c r="AD37" s="24">
        <f>IF(AND(AA37="",AB37=""),"",ROUND(N(AA37)+N(AB37),4))</f>
      </c>
      <c r="AE37" s="23"/>
      <c r="AF37" s="25">
        <f>IF(OR(AD37="",AE37="",AE37=0),"",ROUND(AD37/AE37,2))</f>
      </c>
      <c r="AG37" s="20"/>
      <c r="AH37" s="20"/>
      <c r="AI37" s="20"/>
      <c r="AJ37" s="26">
        <f>IF(OR(AG37="",AH37="",AI37=""),"",IF(ABS(AG37+AH37+AI37-100)&gt;1,"CHECK SUM",IF(AND(AH37+1.5*AI37&lt;15),"Sand",IF(AND(AH37+1.5*AI37&gt;=15,AH37+2*AI37&lt;30),"Loamy sand",IF(OR(AND(AI37&gt;=7,AI37&lt;20,AG37&gt;52,AH37+2*AI37&gt;=30),AND(AI37&lt;7,AH37&lt;50,AG37&gt;43,AH37+2*AI37&gt;=30)),"Sandy loam",IF(AND(AI37&gt;=7,AI37&lt;27,AH37&gt;=28,AH37&lt;50,AG37&lt;=52),"Loam",IF(OR(AND(AH37&gt;=50,AI37&gt;=12,AI37&lt;27),AND(AH37&gt;=50,AH37&lt;80,AI37&lt;12)),"Silt loam",IF(AND(AH37&gt;=80,AI37&lt;12),"Silt",IF(AND(AI37&gt;=20,AI37&lt;35,AH37&lt;28,AG37&gt;45),"Sandy clay loam",IF(AND(AI37&gt;=27,AI37&lt;40,AG37&gt;20,AG37&lt;=45),"Clay loam",IF(AND(AI37&gt;=27,AI37&lt;40,AG37&lt;=20),"Silty clay loam",IF(AND(AI37&gt;=35,AG37&gt;45),"Sandy clay",IF(AND(AI37&gt;=40,AH37&gt;=40),"Silty clay",IF(AND(AI37&gt;=40,AG37&lt;=45,AH37&lt;40),"Clay",""))))))))))))))</f>
      </c>
      <c r="AK37" s="25">
        <f>IF(OR(AD37="",T37="",N37=""),"",ROUND(AD37*T37*N37*(1-N(V37)/100),2))</f>
      </c>
      <c r="AL37" s="26">
        <f>IF(B37="","",IF(NOT(AND(LEFT(B37,3)="OFM",LEN(B37)=13)),"Sample ID must be OFM + 10 digits",IF(AND(C37="SOC",AA37="",AB37=""),"TOC 400 / ROC 600 missing",IF(AND(Z37&lt;&gt;"",AA37&lt;&gt;"",AB37&lt;&gt;"",AC37&lt;&gt;"",ABS(Z37-AA37-AB37-AC37)&gt;0.1),"TC &lt;&gt; TOC400 + ROC600 + TIC900",IF(AND(Z37&lt;&gt;"",AD37&lt;&gt;"",Z37&lt;AD37-0.05),"TC &lt; TOC — impossible",IF(AND(T37&lt;&gt;"",OR(T37&lt;0.6,T37&gt;2.0)),"BD outside 0.6-2.0 — verify",IF(AND(C37="Texture",AJ37="CHECK SUM"),"Sand+Silt+Clay must total 100",IF(AND(AD37&lt;&gt;"",AD37&gt;15),"TOC &gt;15% — organic soil?",IF(AND(C37="SOC",W37="",X37=""),"No dry mass/area — ESM not possible","OK"))))))))</f>
      </c>
    </row>
    <row r="38" spans="1:38" x14ac:dyDescent="0.25">
      <c r="A38" s="15">
        <v>33</v>
      </c>
      <c r="B38" s="15"/>
      <c r="C38" s="15"/>
      <c r="D38" s="15"/>
      <c r="E38" s="15"/>
      <c r="F38" s="15"/>
      <c r="G38" s="15"/>
      <c r="H38" s="15"/>
      <c r="I38" s="15"/>
      <c r="J38" s="15"/>
      <c r="K38" s="16"/>
      <c r="L38" s="17"/>
      <c r="M38" s="17"/>
      <c r="N38" s="18">
        <f>IF(OR(L38="",M38=""),"",M38-L38)</f>
      </c>
      <c r="O38" s="15"/>
      <c r="P38" s="15"/>
      <c r="Q38" s="15"/>
      <c r="R38" s="16"/>
      <c r="S38" s="15"/>
      <c r="T38" s="19"/>
      <c r="U38" s="20"/>
      <c r="V38" s="20"/>
      <c r="W38" s="21"/>
      <c r="X38" s="21"/>
      <c r="Y38" s="22">
        <f>IF(AND(W38&lt;&gt;"",X38&lt;&gt;"",X38&gt;0),ROUND(W38/X38*100,1),IF(OR(T38="",N38=""),"",ROUND(T38*N38*100*(1-N(V38)/100),1)))</f>
      </c>
      <c r="Z38" s="23"/>
      <c r="AA38" s="23"/>
      <c r="AB38" s="23"/>
      <c r="AC38" s="23"/>
      <c r="AD38" s="24">
        <f>IF(AND(AA38="",AB38=""),"",ROUND(N(AA38)+N(AB38),4))</f>
      </c>
      <c r="AE38" s="23"/>
      <c r="AF38" s="25">
        <f>IF(OR(AD38="",AE38="",AE38=0),"",ROUND(AD38/AE38,2))</f>
      </c>
      <c r="AG38" s="20"/>
      <c r="AH38" s="20"/>
      <c r="AI38" s="20"/>
      <c r="AJ38" s="26">
        <f>IF(OR(AG38="",AH38="",AI38=""),"",IF(ABS(AG38+AH38+AI38-100)&gt;1,"CHECK SUM",IF(AND(AH38+1.5*AI38&lt;15),"Sand",IF(AND(AH38+1.5*AI38&gt;=15,AH38+2*AI38&lt;30),"Loamy sand",IF(OR(AND(AI38&gt;=7,AI38&lt;20,AG38&gt;52,AH38+2*AI38&gt;=30),AND(AI38&lt;7,AH38&lt;50,AG38&gt;43,AH38+2*AI38&gt;=30)),"Sandy loam",IF(AND(AI38&gt;=7,AI38&lt;27,AH38&gt;=28,AH38&lt;50,AG38&lt;=52),"Loam",IF(OR(AND(AH38&gt;=50,AI38&gt;=12,AI38&lt;27),AND(AH38&gt;=50,AH38&lt;80,AI38&lt;12)),"Silt loam",IF(AND(AH38&gt;=80,AI38&lt;12),"Silt",IF(AND(AI38&gt;=20,AI38&lt;35,AH38&lt;28,AG38&gt;45),"Sandy clay loam",IF(AND(AI38&gt;=27,AI38&lt;40,AG38&gt;20,AG38&lt;=45),"Clay loam",IF(AND(AI38&gt;=27,AI38&lt;40,AG38&lt;=20),"Silty clay loam",IF(AND(AI38&gt;=35,AG38&gt;45),"Sandy clay",IF(AND(AI38&gt;=40,AH38&gt;=40),"Silty clay",IF(AND(AI38&gt;=40,AG38&lt;=45,AH38&lt;40),"Clay",""))))))))))))))</f>
      </c>
      <c r="AK38" s="25">
        <f>IF(OR(AD38="",T38="",N38=""),"",ROUND(AD38*T38*N38*(1-N(V38)/100),2))</f>
      </c>
      <c r="AL38" s="26">
        <f>IF(B38="","",IF(NOT(AND(LEFT(B38,3)="OFM",LEN(B38)=13)),"Sample ID must be OFM + 10 digits",IF(AND(C38="SOC",AA38="",AB38=""),"TOC 400 / ROC 600 missing",IF(AND(Z38&lt;&gt;"",AA38&lt;&gt;"",AB38&lt;&gt;"",AC38&lt;&gt;"",ABS(Z38-AA38-AB38-AC38)&gt;0.1),"TC &lt;&gt; TOC400 + ROC600 + TIC900",IF(AND(Z38&lt;&gt;"",AD38&lt;&gt;"",Z38&lt;AD38-0.05),"TC &lt; TOC — impossible",IF(AND(T38&lt;&gt;"",OR(T38&lt;0.6,T38&gt;2.0)),"BD outside 0.6-2.0 — verify",IF(AND(C38="Texture",AJ38="CHECK SUM"),"Sand+Silt+Clay must total 100",IF(AND(AD38&lt;&gt;"",AD38&gt;15),"TOC &gt;15% — organic soil?",IF(AND(C38="SOC",W38="",X38=""),"No dry mass/area — ESM not possible","OK"))))))))</f>
      </c>
    </row>
    <row r="39" spans="1:38" x14ac:dyDescent="0.25">
      <c r="A39" s="15">
        <v>34</v>
      </c>
      <c r="B39" s="15"/>
      <c r="C39" s="15"/>
      <c r="D39" s="15"/>
      <c r="E39" s="15"/>
      <c r="F39" s="15"/>
      <c r="G39" s="15"/>
      <c r="H39" s="15"/>
      <c r="I39" s="15"/>
      <c r="J39" s="15"/>
      <c r="K39" s="16"/>
      <c r="L39" s="17"/>
      <c r="M39" s="17"/>
      <c r="N39" s="18">
        <f>IF(OR(L39="",M39=""),"",M39-L39)</f>
      </c>
      <c r="O39" s="15"/>
      <c r="P39" s="15"/>
      <c r="Q39" s="15"/>
      <c r="R39" s="16"/>
      <c r="S39" s="15"/>
      <c r="T39" s="19"/>
      <c r="U39" s="20"/>
      <c r="V39" s="20"/>
      <c r="W39" s="21"/>
      <c r="X39" s="21"/>
      <c r="Y39" s="22">
        <f>IF(AND(W39&lt;&gt;"",X39&lt;&gt;"",X39&gt;0),ROUND(W39/X39*100,1),IF(OR(T39="",N39=""),"",ROUND(T39*N39*100*(1-N(V39)/100),1)))</f>
      </c>
      <c r="Z39" s="23"/>
      <c r="AA39" s="23"/>
      <c r="AB39" s="23"/>
      <c r="AC39" s="23"/>
      <c r="AD39" s="24">
        <f>IF(AND(AA39="",AB39=""),"",ROUND(N(AA39)+N(AB39),4))</f>
      </c>
      <c r="AE39" s="23"/>
      <c r="AF39" s="25">
        <f>IF(OR(AD39="",AE39="",AE39=0),"",ROUND(AD39/AE39,2))</f>
      </c>
      <c r="AG39" s="20"/>
      <c r="AH39" s="20"/>
      <c r="AI39" s="20"/>
      <c r="AJ39" s="26">
        <f>IF(OR(AG39="",AH39="",AI39=""),"",IF(ABS(AG39+AH39+AI39-100)&gt;1,"CHECK SUM",IF(AND(AH39+1.5*AI39&lt;15),"Sand",IF(AND(AH39+1.5*AI39&gt;=15,AH39+2*AI39&lt;30),"Loamy sand",IF(OR(AND(AI39&gt;=7,AI39&lt;20,AG39&gt;52,AH39+2*AI39&gt;=30),AND(AI39&lt;7,AH39&lt;50,AG39&gt;43,AH39+2*AI39&gt;=30)),"Sandy loam",IF(AND(AI39&gt;=7,AI39&lt;27,AH39&gt;=28,AH39&lt;50,AG39&lt;=52),"Loam",IF(OR(AND(AH39&gt;=50,AI39&gt;=12,AI39&lt;27),AND(AH39&gt;=50,AH39&lt;80,AI39&lt;12)),"Silt loam",IF(AND(AH39&gt;=80,AI39&lt;12),"Silt",IF(AND(AI39&gt;=20,AI39&lt;35,AH39&lt;28,AG39&gt;45),"Sandy clay loam",IF(AND(AI39&gt;=27,AI39&lt;40,AG39&gt;20,AG39&lt;=45),"Clay loam",IF(AND(AI39&gt;=27,AI39&lt;40,AG39&lt;=20),"Silty clay loam",IF(AND(AI39&gt;=35,AG39&gt;45),"Sandy clay",IF(AND(AI39&gt;=40,AH39&gt;=40),"Silty clay",IF(AND(AI39&gt;=40,AG39&lt;=45,AH39&lt;40),"Clay",""))))))))))))))</f>
      </c>
      <c r="AK39" s="25">
        <f>IF(OR(AD39="",T39="",N39=""),"",ROUND(AD39*T39*N39*(1-N(V39)/100),2))</f>
      </c>
      <c r="AL39" s="26">
        <f>IF(B39="","",IF(NOT(AND(LEFT(B39,3)="OFM",LEN(B39)=13)),"Sample ID must be OFM + 10 digits",IF(AND(C39="SOC",AA39="",AB39=""),"TOC 400 / ROC 600 missing",IF(AND(Z39&lt;&gt;"",AA39&lt;&gt;"",AB39&lt;&gt;"",AC39&lt;&gt;"",ABS(Z39-AA39-AB39-AC39)&gt;0.1),"TC &lt;&gt; TOC400 + ROC600 + TIC900",IF(AND(Z39&lt;&gt;"",AD39&lt;&gt;"",Z39&lt;AD39-0.05),"TC &lt; TOC — impossible",IF(AND(T39&lt;&gt;"",OR(T39&lt;0.6,T39&gt;2.0)),"BD outside 0.6-2.0 — verify",IF(AND(C39="Texture",AJ39="CHECK SUM"),"Sand+Silt+Clay must total 100",IF(AND(AD39&lt;&gt;"",AD39&gt;15),"TOC &gt;15% — organic soil?",IF(AND(C39="SOC",W39="",X39=""),"No dry mass/area — ESM not possible","OK"))))))))</f>
      </c>
    </row>
    <row r="40" spans="1:38" x14ac:dyDescent="0.25">
      <c r="A40" s="15">
        <v>35</v>
      </c>
      <c r="B40" s="15"/>
      <c r="C40" s="15"/>
      <c r="D40" s="15"/>
      <c r="E40" s="15"/>
      <c r="F40" s="15"/>
      <c r="G40" s="15"/>
      <c r="H40" s="15"/>
      <c r="I40" s="15"/>
      <c r="J40" s="15"/>
      <c r="K40" s="16"/>
      <c r="L40" s="17"/>
      <c r="M40" s="17"/>
      <c r="N40" s="18">
        <f>IF(OR(L40="",M40=""),"",M40-L40)</f>
      </c>
      <c r="O40" s="15"/>
      <c r="P40" s="15"/>
      <c r="Q40" s="15"/>
      <c r="R40" s="16"/>
      <c r="S40" s="15"/>
      <c r="T40" s="19"/>
      <c r="U40" s="20"/>
      <c r="V40" s="20"/>
      <c r="W40" s="21"/>
      <c r="X40" s="21"/>
      <c r="Y40" s="22">
        <f>IF(AND(W40&lt;&gt;"",X40&lt;&gt;"",X40&gt;0),ROUND(W40/X40*100,1),IF(OR(T40="",N40=""),"",ROUND(T40*N40*100*(1-N(V40)/100),1)))</f>
      </c>
      <c r="Z40" s="23"/>
      <c r="AA40" s="23"/>
      <c r="AB40" s="23"/>
      <c r="AC40" s="23"/>
      <c r="AD40" s="24">
        <f>IF(AND(AA40="",AB40=""),"",ROUND(N(AA40)+N(AB40),4))</f>
      </c>
      <c r="AE40" s="23"/>
      <c r="AF40" s="25">
        <f>IF(OR(AD40="",AE40="",AE40=0),"",ROUND(AD40/AE40,2))</f>
      </c>
      <c r="AG40" s="20"/>
      <c r="AH40" s="20"/>
      <c r="AI40" s="20"/>
      <c r="AJ40" s="26">
        <f>IF(OR(AG40="",AH40="",AI40=""),"",IF(ABS(AG40+AH40+AI40-100)&gt;1,"CHECK SUM",IF(AND(AH40+1.5*AI40&lt;15),"Sand",IF(AND(AH40+1.5*AI40&gt;=15,AH40+2*AI40&lt;30),"Loamy sand",IF(OR(AND(AI40&gt;=7,AI40&lt;20,AG40&gt;52,AH40+2*AI40&gt;=30),AND(AI40&lt;7,AH40&lt;50,AG40&gt;43,AH40+2*AI40&gt;=30)),"Sandy loam",IF(AND(AI40&gt;=7,AI40&lt;27,AH40&gt;=28,AH40&lt;50,AG40&lt;=52),"Loam",IF(OR(AND(AH40&gt;=50,AI40&gt;=12,AI40&lt;27),AND(AH40&gt;=50,AH40&lt;80,AI40&lt;12)),"Silt loam",IF(AND(AH40&gt;=80,AI40&lt;12),"Silt",IF(AND(AI40&gt;=20,AI40&lt;35,AH40&lt;28,AG40&gt;45),"Sandy clay loam",IF(AND(AI40&gt;=27,AI40&lt;40,AG40&gt;20,AG40&lt;=45),"Clay loam",IF(AND(AI40&gt;=27,AI40&lt;40,AG40&lt;=20),"Silty clay loam",IF(AND(AI40&gt;=35,AG40&gt;45),"Sandy clay",IF(AND(AI40&gt;=40,AH40&gt;=40),"Silty clay",IF(AND(AI40&gt;=40,AG40&lt;=45,AH40&lt;40),"Clay",""))))))))))))))</f>
      </c>
      <c r="AK40" s="25">
        <f>IF(OR(AD40="",T40="",N40=""),"",ROUND(AD40*T40*N40*(1-N(V40)/100),2))</f>
      </c>
      <c r="AL40" s="26">
        <f>IF(B40="","",IF(NOT(AND(LEFT(B40,3)="OFM",LEN(B40)=13)),"Sample ID must be OFM + 10 digits",IF(AND(C40="SOC",AA40="",AB40=""),"TOC 400 / ROC 600 missing",IF(AND(Z40&lt;&gt;"",AA40&lt;&gt;"",AB40&lt;&gt;"",AC40&lt;&gt;"",ABS(Z40-AA40-AB40-AC40)&gt;0.1),"TC &lt;&gt; TOC400 + ROC600 + TIC900",IF(AND(Z40&lt;&gt;"",AD40&lt;&gt;"",Z40&lt;AD40-0.05),"TC &lt; TOC — impossible",IF(AND(T40&lt;&gt;"",OR(T40&lt;0.6,T40&gt;2.0)),"BD outside 0.6-2.0 — verify",IF(AND(C40="Texture",AJ40="CHECK SUM"),"Sand+Silt+Clay must total 100",IF(AND(AD40&lt;&gt;"",AD40&gt;15),"TOC &gt;15% — organic soil?",IF(AND(C40="SOC",W40="",X40=""),"No dry mass/area — ESM not possible","OK"))))))))</f>
      </c>
    </row>
    <row r="41" spans="1:38" x14ac:dyDescent="0.25">
      <c r="A41" s="15">
        <v>36</v>
      </c>
      <c r="B41" s="15"/>
      <c r="C41" s="15"/>
      <c r="D41" s="15"/>
      <c r="E41" s="15"/>
      <c r="F41" s="15"/>
      <c r="G41" s="15"/>
      <c r="H41" s="15"/>
      <c r="I41" s="15"/>
      <c r="J41" s="15"/>
      <c r="K41" s="16"/>
      <c r="L41" s="17"/>
      <c r="M41" s="17"/>
      <c r="N41" s="18">
        <f>IF(OR(L41="",M41=""),"",M41-L41)</f>
      </c>
      <c r="O41" s="15"/>
      <c r="P41" s="15"/>
      <c r="Q41" s="15"/>
      <c r="R41" s="16"/>
      <c r="S41" s="15"/>
      <c r="T41" s="19"/>
      <c r="U41" s="20"/>
      <c r="V41" s="20"/>
      <c r="W41" s="21"/>
      <c r="X41" s="21"/>
      <c r="Y41" s="22">
        <f>IF(AND(W41&lt;&gt;"",X41&lt;&gt;"",X41&gt;0),ROUND(W41/X41*100,1),IF(OR(T41="",N41=""),"",ROUND(T41*N41*100*(1-N(V41)/100),1)))</f>
      </c>
      <c r="Z41" s="23"/>
      <c r="AA41" s="23"/>
      <c r="AB41" s="23"/>
      <c r="AC41" s="23"/>
      <c r="AD41" s="24">
        <f>IF(AND(AA41="",AB41=""),"",ROUND(N(AA41)+N(AB41),4))</f>
      </c>
      <c r="AE41" s="23"/>
      <c r="AF41" s="25">
        <f>IF(OR(AD41="",AE41="",AE41=0),"",ROUND(AD41/AE41,2))</f>
      </c>
      <c r="AG41" s="20"/>
      <c r="AH41" s="20"/>
      <c r="AI41" s="20"/>
      <c r="AJ41" s="26">
        <f>IF(OR(AG41="",AH41="",AI41=""),"",IF(ABS(AG41+AH41+AI41-100)&gt;1,"CHECK SUM",IF(AND(AH41+1.5*AI41&lt;15),"Sand",IF(AND(AH41+1.5*AI41&gt;=15,AH41+2*AI41&lt;30),"Loamy sand",IF(OR(AND(AI41&gt;=7,AI41&lt;20,AG41&gt;52,AH41+2*AI41&gt;=30),AND(AI41&lt;7,AH41&lt;50,AG41&gt;43,AH41+2*AI41&gt;=30)),"Sandy loam",IF(AND(AI41&gt;=7,AI41&lt;27,AH41&gt;=28,AH41&lt;50,AG41&lt;=52),"Loam",IF(OR(AND(AH41&gt;=50,AI41&gt;=12,AI41&lt;27),AND(AH41&gt;=50,AH41&lt;80,AI41&lt;12)),"Silt loam",IF(AND(AH41&gt;=80,AI41&lt;12),"Silt",IF(AND(AI41&gt;=20,AI41&lt;35,AH41&lt;28,AG41&gt;45),"Sandy clay loam",IF(AND(AI41&gt;=27,AI41&lt;40,AG41&gt;20,AG41&lt;=45),"Clay loam",IF(AND(AI41&gt;=27,AI41&lt;40,AG41&lt;=20),"Silty clay loam",IF(AND(AI41&gt;=35,AG41&gt;45),"Sandy clay",IF(AND(AI41&gt;=40,AH41&gt;=40),"Silty clay",IF(AND(AI41&gt;=40,AG41&lt;=45,AH41&lt;40),"Clay",""))))))))))))))</f>
      </c>
      <c r="AK41" s="25">
        <f>IF(OR(AD41="",T41="",N41=""),"",ROUND(AD41*T41*N41*(1-N(V41)/100),2))</f>
      </c>
      <c r="AL41" s="26">
        <f>IF(B41="","",IF(NOT(AND(LEFT(B41,3)="OFM",LEN(B41)=13)),"Sample ID must be OFM + 10 digits",IF(AND(C41="SOC",AA41="",AB41=""),"TOC 400 / ROC 600 missing",IF(AND(Z41&lt;&gt;"",AA41&lt;&gt;"",AB41&lt;&gt;"",AC41&lt;&gt;"",ABS(Z41-AA41-AB41-AC41)&gt;0.1),"TC &lt;&gt; TOC400 + ROC600 + TIC900",IF(AND(Z41&lt;&gt;"",AD41&lt;&gt;"",Z41&lt;AD41-0.05),"TC &lt; TOC — impossible",IF(AND(T41&lt;&gt;"",OR(T41&lt;0.6,T41&gt;2.0)),"BD outside 0.6-2.0 — verify",IF(AND(C41="Texture",AJ41="CHECK SUM"),"Sand+Silt+Clay must total 100",IF(AND(AD41&lt;&gt;"",AD41&gt;15),"TOC &gt;15% — organic soil?",IF(AND(C41="SOC",W41="",X41=""),"No dry mass/area — ESM not possible","OK"))))))))</f>
      </c>
    </row>
    <row r="42" spans="1:38" x14ac:dyDescent="0.25">
      <c r="A42" s="15">
        <v>37</v>
      </c>
      <c r="B42" s="15"/>
      <c r="C42" s="15"/>
      <c r="D42" s="15"/>
      <c r="E42" s="15"/>
      <c r="F42" s="15"/>
      <c r="G42" s="15"/>
      <c r="H42" s="15"/>
      <c r="I42" s="15"/>
      <c r="J42" s="15"/>
      <c r="K42" s="16"/>
      <c r="L42" s="17"/>
      <c r="M42" s="17"/>
      <c r="N42" s="18">
        <f>IF(OR(L42="",M42=""),"",M42-L42)</f>
      </c>
      <c r="O42" s="15"/>
      <c r="P42" s="15"/>
      <c r="Q42" s="15"/>
      <c r="R42" s="16"/>
      <c r="S42" s="15"/>
      <c r="T42" s="19"/>
      <c r="U42" s="20"/>
      <c r="V42" s="20"/>
      <c r="W42" s="21"/>
      <c r="X42" s="21"/>
      <c r="Y42" s="22">
        <f>IF(AND(W42&lt;&gt;"",X42&lt;&gt;"",X42&gt;0),ROUND(W42/X42*100,1),IF(OR(T42="",N42=""),"",ROUND(T42*N42*100*(1-N(V42)/100),1)))</f>
      </c>
      <c r="Z42" s="23"/>
      <c r="AA42" s="23"/>
      <c r="AB42" s="23"/>
      <c r="AC42" s="23"/>
      <c r="AD42" s="24">
        <f>IF(AND(AA42="",AB42=""),"",ROUND(N(AA42)+N(AB42),4))</f>
      </c>
      <c r="AE42" s="23"/>
      <c r="AF42" s="25">
        <f>IF(OR(AD42="",AE42="",AE42=0),"",ROUND(AD42/AE42,2))</f>
      </c>
      <c r="AG42" s="20"/>
      <c r="AH42" s="20"/>
      <c r="AI42" s="20"/>
      <c r="AJ42" s="26">
        <f>IF(OR(AG42="",AH42="",AI42=""),"",IF(ABS(AG42+AH42+AI42-100)&gt;1,"CHECK SUM",IF(AND(AH42+1.5*AI42&lt;15),"Sand",IF(AND(AH42+1.5*AI42&gt;=15,AH42+2*AI42&lt;30),"Loamy sand",IF(OR(AND(AI42&gt;=7,AI42&lt;20,AG42&gt;52,AH42+2*AI42&gt;=30),AND(AI42&lt;7,AH42&lt;50,AG42&gt;43,AH42+2*AI42&gt;=30)),"Sandy loam",IF(AND(AI42&gt;=7,AI42&lt;27,AH42&gt;=28,AH42&lt;50,AG42&lt;=52),"Loam",IF(OR(AND(AH42&gt;=50,AI42&gt;=12,AI42&lt;27),AND(AH42&gt;=50,AH42&lt;80,AI42&lt;12)),"Silt loam",IF(AND(AH42&gt;=80,AI42&lt;12),"Silt",IF(AND(AI42&gt;=20,AI42&lt;35,AH42&lt;28,AG42&gt;45),"Sandy clay loam",IF(AND(AI42&gt;=27,AI42&lt;40,AG42&gt;20,AG42&lt;=45),"Clay loam",IF(AND(AI42&gt;=27,AI42&lt;40,AG42&lt;=20),"Silty clay loam",IF(AND(AI42&gt;=35,AG42&gt;45),"Sandy clay",IF(AND(AI42&gt;=40,AH42&gt;=40),"Silty clay",IF(AND(AI42&gt;=40,AG42&lt;=45,AH42&lt;40),"Clay",""))))))))))))))</f>
      </c>
      <c r="AK42" s="25">
        <f>IF(OR(AD42="",T42="",N42=""),"",ROUND(AD42*T42*N42*(1-N(V42)/100),2))</f>
      </c>
      <c r="AL42" s="26">
        <f>IF(B42="","",IF(NOT(AND(LEFT(B42,3)="OFM",LEN(B42)=13)),"Sample ID must be OFM + 10 digits",IF(AND(C42="SOC",AA42="",AB42=""),"TOC 400 / ROC 600 missing",IF(AND(Z42&lt;&gt;"",AA42&lt;&gt;"",AB42&lt;&gt;"",AC42&lt;&gt;"",ABS(Z42-AA42-AB42-AC42)&gt;0.1),"TC &lt;&gt; TOC400 + ROC600 + TIC900",IF(AND(Z42&lt;&gt;"",AD42&lt;&gt;"",Z42&lt;AD42-0.05),"TC &lt; TOC — impossible",IF(AND(T42&lt;&gt;"",OR(T42&lt;0.6,T42&gt;2.0)),"BD outside 0.6-2.0 — verify",IF(AND(C42="Texture",AJ42="CHECK SUM"),"Sand+Silt+Clay must total 100",IF(AND(AD42&lt;&gt;"",AD42&gt;15),"TOC &gt;15% — organic soil?",IF(AND(C42="SOC",W42="",X42=""),"No dry mass/area — ESM not possible","OK"))))))))</f>
      </c>
    </row>
    <row r="43" spans="1:38" x14ac:dyDescent="0.25">
      <c r="A43" s="15">
        <v>38</v>
      </c>
      <c r="B43" s="15"/>
      <c r="C43" s="15"/>
      <c r="D43" s="15"/>
      <c r="E43" s="15"/>
      <c r="F43" s="15"/>
      <c r="G43" s="15"/>
      <c r="H43" s="15"/>
      <c r="I43" s="15"/>
      <c r="J43" s="15"/>
      <c r="K43" s="16"/>
      <c r="L43" s="17"/>
      <c r="M43" s="17"/>
      <c r="N43" s="18">
        <f>IF(OR(L43="",M43=""),"",M43-L43)</f>
      </c>
      <c r="O43" s="15"/>
      <c r="P43" s="15"/>
      <c r="Q43" s="15"/>
      <c r="R43" s="16"/>
      <c r="S43" s="15"/>
      <c r="T43" s="19"/>
      <c r="U43" s="20"/>
      <c r="V43" s="20"/>
      <c r="W43" s="21"/>
      <c r="X43" s="21"/>
      <c r="Y43" s="22">
        <f>IF(AND(W43&lt;&gt;"",X43&lt;&gt;"",X43&gt;0),ROUND(W43/X43*100,1),IF(OR(T43="",N43=""),"",ROUND(T43*N43*100*(1-N(V43)/100),1)))</f>
      </c>
      <c r="Z43" s="23"/>
      <c r="AA43" s="23"/>
      <c r="AB43" s="23"/>
      <c r="AC43" s="23"/>
      <c r="AD43" s="24">
        <f>IF(AND(AA43="",AB43=""),"",ROUND(N(AA43)+N(AB43),4))</f>
      </c>
      <c r="AE43" s="23"/>
      <c r="AF43" s="25">
        <f>IF(OR(AD43="",AE43="",AE43=0),"",ROUND(AD43/AE43,2))</f>
      </c>
      <c r="AG43" s="20"/>
      <c r="AH43" s="20"/>
      <c r="AI43" s="20"/>
      <c r="AJ43" s="26">
        <f>IF(OR(AG43="",AH43="",AI43=""),"",IF(ABS(AG43+AH43+AI43-100)&gt;1,"CHECK SUM",IF(AND(AH43+1.5*AI43&lt;15),"Sand",IF(AND(AH43+1.5*AI43&gt;=15,AH43+2*AI43&lt;30),"Loamy sand",IF(OR(AND(AI43&gt;=7,AI43&lt;20,AG43&gt;52,AH43+2*AI43&gt;=30),AND(AI43&lt;7,AH43&lt;50,AG43&gt;43,AH43+2*AI43&gt;=30)),"Sandy loam",IF(AND(AI43&gt;=7,AI43&lt;27,AH43&gt;=28,AH43&lt;50,AG43&lt;=52),"Loam",IF(OR(AND(AH43&gt;=50,AI43&gt;=12,AI43&lt;27),AND(AH43&gt;=50,AH43&lt;80,AI43&lt;12)),"Silt loam",IF(AND(AH43&gt;=80,AI43&lt;12),"Silt",IF(AND(AI43&gt;=20,AI43&lt;35,AH43&lt;28,AG43&gt;45),"Sandy clay loam",IF(AND(AI43&gt;=27,AI43&lt;40,AG43&gt;20,AG43&lt;=45),"Clay loam",IF(AND(AI43&gt;=27,AI43&lt;40,AG43&lt;=20),"Silty clay loam",IF(AND(AI43&gt;=35,AG43&gt;45),"Sandy clay",IF(AND(AI43&gt;=40,AH43&gt;=40),"Silty clay",IF(AND(AI43&gt;=40,AG43&lt;=45,AH43&lt;40),"Clay",""))))))))))))))</f>
      </c>
      <c r="AK43" s="25">
        <f>IF(OR(AD43="",T43="",N43=""),"",ROUND(AD43*T43*N43*(1-N(V43)/100),2))</f>
      </c>
      <c r="AL43" s="26">
        <f>IF(B43="","",IF(NOT(AND(LEFT(B43,3)="OFM",LEN(B43)=13)),"Sample ID must be OFM + 10 digits",IF(AND(C43="SOC",AA43="",AB43=""),"TOC 400 / ROC 600 missing",IF(AND(Z43&lt;&gt;"",AA43&lt;&gt;"",AB43&lt;&gt;"",AC43&lt;&gt;"",ABS(Z43-AA43-AB43-AC43)&gt;0.1),"TC &lt;&gt; TOC400 + ROC600 + TIC900",IF(AND(Z43&lt;&gt;"",AD43&lt;&gt;"",Z43&lt;AD43-0.05),"TC &lt; TOC — impossible",IF(AND(T43&lt;&gt;"",OR(T43&lt;0.6,T43&gt;2.0)),"BD outside 0.6-2.0 — verify",IF(AND(C43="Texture",AJ43="CHECK SUM"),"Sand+Silt+Clay must total 100",IF(AND(AD43&lt;&gt;"",AD43&gt;15),"TOC &gt;15% — organic soil?",IF(AND(C43="SOC",W43="",X43=""),"No dry mass/area — ESM not possible","OK"))))))))</f>
      </c>
    </row>
    <row r="44" spans="1:38" x14ac:dyDescent="0.25">
      <c r="A44" s="15">
        <v>39</v>
      </c>
      <c r="B44" s="15"/>
      <c r="C44" s="15"/>
      <c r="D44" s="15"/>
      <c r="E44" s="15"/>
      <c r="F44" s="15"/>
      <c r="G44" s="15"/>
      <c r="H44" s="15"/>
      <c r="I44" s="15"/>
      <c r="J44" s="15"/>
      <c r="K44" s="16"/>
      <c r="L44" s="17"/>
      <c r="M44" s="17"/>
      <c r="N44" s="18">
        <f>IF(OR(L44="",M44=""),"",M44-L44)</f>
      </c>
      <c r="O44" s="15"/>
      <c r="P44" s="15"/>
      <c r="Q44" s="15"/>
      <c r="R44" s="16"/>
      <c r="S44" s="15"/>
      <c r="T44" s="19"/>
      <c r="U44" s="20"/>
      <c r="V44" s="20"/>
      <c r="W44" s="21"/>
      <c r="X44" s="21"/>
      <c r="Y44" s="22">
        <f>IF(AND(W44&lt;&gt;"",X44&lt;&gt;"",X44&gt;0),ROUND(W44/X44*100,1),IF(OR(T44="",N44=""),"",ROUND(T44*N44*100*(1-N(V44)/100),1)))</f>
      </c>
      <c r="Z44" s="23"/>
      <c r="AA44" s="23"/>
      <c r="AB44" s="23"/>
      <c r="AC44" s="23"/>
      <c r="AD44" s="24">
        <f>IF(AND(AA44="",AB44=""),"",ROUND(N(AA44)+N(AB44),4))</f>
      </c>
      <c r="AE44" s="23"/>
      <c r="AF44" s="25">
        <f>IF(OR(AD44="",AE44="",AE44=0),"",ROUND(AD44/AE44,2))</f>
      </c>
      <c r="AG44" s="20"/>
      <c r="AH44" s="20"/>
      <c r="AI44" s="20"/>
      <c r="AJ44" s="26">
        <f>IF(OR(AG44="",AH44="",AI44=""),"",IF(ABS(AG44+AH44+AI44-100)&gt;1,"CHECK SUM",IF(AND(AH44+1.5*AI44&lt;15),"Sand",IF(AND(AH44+1.5*AI44&gt;=15,AH44+2*AI44&lt;30),"Loamy sand",IF(OR(AND(AI44&gt;=7,AI44&lt;20,AG44&gt;52,AH44+2*AI44&gt;=30),AND(AI44&lt;7,AH44&lt;50,AG44&gt;43,AH44+2*AI44&gt;=30)),"Sandy loam",IF(AND(AI44&gt;=7,AI44&lt;27,AH44&gt;=28,AH44&lt;50,AG44&lt;=52),"Loam",IF(OR(AND(AH44&gt;=50,AI44&gt;=12,AI44&lt;27),AND(AH44&gt;=50,AH44&lt;80,AI44&lt;12)),"Silt loam",IF(AND(AH44&gt;=80,AI44&lt;12),"Silt",IF(AND(AI44&gt;=20,AI44&lt;35,AH44&lt;28,AG44&gt;45),"Sandy clay loam",IF(AND(AI44&gt;=27,AI44&lt;40,AG44&gt;20,AG44&lt;=45),"Clay loam",IF(AND(AI44&gt;=27,AI44&lt;40,AG44&lt;=20),"Silty clay loam",IF(AND(AI44&gt;=35,AG44&gt;45),"Sandy clay",IF(AND(AI44&gt;=40,AH44&gt;=40),"Silty clay",IF(AND(AI44&gt;=40,AG44&lt;=45,AH44&lt;40),"Clay",""))))))))))))))</f>
      </c>
      <c r="AK44" s="25">
        <f>IF(OR(AD44="",T44="",N44=""),"",ROUND(AD44*T44*N44*(1-N(V44)/100),2))</f>
      </c>
      <c r="AL44" s="26">
        <f>IF(B44="","",IF(NOT(AND(LEFT(B44,3)="OFM",LEN(B44)=13)),"Sample ID must be OFM + 10 digits",IF(AND(C44="SOC",AA44="",AB44=""),"TOC 400 / ROC 600 missing",IF(AND(Z44&lt;&gt;"",AA44&lt;&gt;"",AB44&lt;&gt;"",AC44&lt;&gt;"",ABS(Z44-AA44-AB44-AC44)&gt;0.1),"TC &lt;&gt; TOC400 + ROC600 + TIC900",IF(AND(Z44&lt;&gt;"",AD44&lt;&gt;"",Z44&lt;AD44-0.05),"TC &lt; TOC — impossible",IF(AND(T44&lt;&gt;"",OR(T44&lt;0.6,T44&gt;2.0)),"BD outside 0.6-2.0 — verify",IF(AND(C44="Texture",AJ44="CHECK SUM"),"Sand+Silt+Clay must total 100",IF(AND(AD44&lt;&gt;"",AD44&gt;15),"TOC &gt;15% — organic soil?",IF(AND(C44="SOC",W44="",X44=""),"No dry mass/area — ESM not possible","OK"))))))))</f>
      </c>
    </row>
    <row r="45" spans="1:38" x14ac:dyDescent="0.25">
      <c r="A45" s="15">
        <v>40</v>
      </c>
      <c r="B45" s="15"/>
      <c r="C45" s="15"/>
      <c r="D45" s="15"/>
      <c r="E45" s="15"/>
      <c r="F45" s="15"/>
      <c r="G45" s="15"/>
      <c r="H45" s="15"/>
      <c r="I45" s="15"/>
      <c r="J45" s="15"/>
      <c r="K45" s="16"/>
      <c r="L45" s="17"/>
      <c r="M45" s="17"/>
      <c r="N45" s="18">
        <f>IF(OR(L45="",M45=""),"",M45-L45)</f>
      </c>
      <c r="O45" s="15"/>
      <c r="P45" s="15"/>
      <c r="Q45" s="15"/>
      <c r="R45" s="16"/>
      <c r="S45" s="15"/>
      <c r="T45" s="19"/>
      <c r="U45" s="20"/>
      <c r="V45" s="20"/>
      <c r="W45" s="21"/>
      <c r="X45" s="21"/>
      <c r="Y45" s="22">
        <f>IF(AND(W45&lt;&gt;"",X45&lt;&gt;"",X45&gt;0),ROUND(W45/X45*100,1),IF(OR(T45="",N45=""),"",ROUND(T45*N45*100*(1-N(V45)/100),1)))</f>
      </c>
      <c r="Z45" s="23"/>
      <c r="AA45" s="23"/>
      <c r="AB45" s="23"/>
      <c r="AC45" s="23"/>
      <c r="AD45" s="24">
        <f>IF(AND(AA45="",AB45=""),"",ROUND(N(AA45)+N(AB45),4))</f>
      </c>
      <c r="AE45" s="23"/>
      <c r="AF45" s="25">
        <f>IF(OR(AD45="",AE45="",AE45=0),"",ROUND(AD45/AE45,2))</f>
      </c>
      <c r="AG45" s="20"/>
      <c r="AH45" s="20"/>
      <c r="AI45" s="20"/>
      <c r="AJ45" s="26">
        <f>IF(OR(AG45="",AH45="",AI45=""),"",IF(ABS(AG45+AH45+AI45-100)&gt;1,"CHECK SUM",IF(AND(AH45+1.5*AI45&lt;15),"Sand",IF(AND(AH45+1.5*AI45&gt;=15,AH45+2*AI45&lt;30),"Loamy sand",IF(OR(AND(AI45&gt;=7,AI45&lt;20,AG45&gt;52,AH45+2*AI45&gt;=30),AND(AI45&lt;7,AH45&lt;50,AG45&gt;43,AH45+2*AI45&gt;=30)),"Sandy loam",IF(AND(AI45&gt;=7,AI45&lt;27,AH45&gt;=28,AH45&lt;50,AG45&lt;=52),"Loam",IF(OR(AND(AH45&gt;=50,AI45&gt;=12,AI45&lt;27),AND(AH45&gt;=50,AH45&lt;80,AI45&lt;12)),"Silt loam",IF(AND(AH45&gt;=80,AI45&lt;12),"Silt",IF(AND(AI45&gt;=20,AI45&lt;35,AH45&lt;28,AG45&gt;45),"Sandy clay loam",IF(AND(AI45&gt;=27,AI45&lt;40,AG45&gt;20,AG45&lt;=45),"Clay loam",IF(AND(AI45&gt;=27,AI45&lt;40,AG45&lt;=20),"Silty clay loam",IF(AND(AI45&gt;=35,AG45&gt;45),"Sandy clay",IF(AND(AI45&gt;=40,AH45&gt;=40),"Silty clay",IF(AND(AI45&gt;=40,AG45&lt;=45,AH45&lt;40),"Clay",""))))))))))))))</f>
      </c>
      <c r="AK45" s="25">
        <f>IF(OR(AD45="",T45="",N45=""),"",ROUND(AD45*T45*N45*(1-N(V45)/100),2))</f>
      </c>
      <c r="AL45" s="26">
        <f>IF(B45="","",IF(NOT(AND(LEFT(B45,3)="OFM",LEN(B45)=13)),"Sample ID must be OFM + 10 digits",IF(AND(C45="SOC",AA45="",AB45=""),"TOC 400 / ROC 600 missing",IF(AND(Z45&lt;&gt;"",AA45&lt;&gt;"",AB45&lt;&gt;"",AC45&lt;&gt;"",ABS(Z45-AA45-AB45-AC45)&gt;0.1),"TC &lt;&gt; TOC400 + ROC600 + TIC900",IF(AND(Z45&lt;&gt;"",AD45&lt;&gt;"",Z45&lt;AD45-0.05),"TC &lt; TOC — impossible",IF(AND(T45&lt;&gt;"",OR(T45&lt;0.6,T45&gt;2.0)),"BD outside 0.6-2.0 — verify",IF(AND(C45="Texture",AJ45="CHECK SUM"),"Sand+Silt+Clay must total 100",IF(AND(AD45&lt;&gt;"",AD45&gt;15),"TOC &gt;15% — organic soil?",IF(AND(C45="SOC",W45="",X45=""),"No dry mass/area — ESM not possible","OK"))))))))</f>
      </c>
    </row>
    <row r="46" spans="1:38" x14ac:dyDescent="0.25">
      <c r="A46" s="15">
        <v>41</v>
      </c>
      <c r="B46" s="15"/>
      <c r="C46" s="15"/>
      <c r="D46" s="15"/>
      <c r="E46" s="15"/>
      <c r="F46" s="15"/>
      <c r="G46" s="15"/>
      <c r="H46" s="15"/>
      <c r="I46" s="15"/>
      <c r="J46" s="15"/>
      <c r="K46" s="16"/>
      <c r="L46" s="17"/>
      <c r="M46" s="17"/>
      <c r="N46" s="18">
        <f>IF(OR(L46="",M46=""),"",M46-L46)</f>
      </c>
      <c r="O46" s="15"/>
      <c r="P46" s="15"/>
      <c r="Q46" s="15"/>
      <c r="R46" s="16"/>
      <c r="S46" s="15"/>
      <c r="T46" s="19"/>
      <c r="U46" s="20"/>
      <c r="V46" s="20"/>
      <c r="W46" s="21"/>
      <c r="X46" s="21"/>
      <c r="Y46" s="22">
        <f>IF(AND(W46&lt;&gt;"",X46&lt;&gt;"",X46&gt;0),ROUND(W46/X46*100,1),IF(OR(T46="",N46=""),"",ROUND(T46*N46*100*(1-N(V46)/100),1)))</f>
      </c>
      <c r="Z46" s="23"/>
      <c r="AA46" s="23"/>
      <c r="AB46" s="23"/>
      <c r="AC46" s="23"/>
      <c r="AD46" s="24">
        <f>IF(AND(AA46="",AB46=""),"",ROUND(N(AA46)+N(AB46),4))</f>
      </c>
      <c r="AE46" s="23"/>
      <c r="AF46" s="25">
        <f>IF(OR(AD46="",AE46="",AE46=0),"",ROUND(AD46/AE46,2))</f>
      </c>
      <c r="AG46" s="20"/>
      <c r="AH46" s="20"/>
      <c r="AI46" s="20"/>
      <c r="AJ46" s="26">
        <f>IF(OR(AG46="",AH46="",AI46=""),"",IF(ABS(AG46+AH46+AI46-100)&gt;1,"CHECK SUM",IF(AND(AH46+1.5*AI46&lt;15),"Sand",IF(AND(AH46+1.5*AI46&gt;=15,AH46+2*AI46&lt;30),"Loamy sand",IF(OR(AND(AI46&gt;=7,AI46&lt;20,AG46&gt;52,AH46+2*AI46&gt;=30),AND(AI46&lt;7,AH46&lt;50,AG46&gt;43,AH46+2*AI46&gt;=30)),"Sandy loam",IF(AND(AI46&gt;=7,AI46&lt;27,AH46&gt;=28,AH46&lt;50,AG46&lt;=52),"Loam",IF(OR(AND(AH46&gt;=50,AI46&gt;=12,AI46&lt;27),AND(AH46&gt;=50,AH46&lt;80,AI46&lt;12)),"Silt loam",IF(AND(AH46&gt;=80,AI46&lt;12),"Silt",IF(AND(AI46&gt;=20,AI46&lt;35,AH46&lt;28,AG46&gt;45),"Sandy clay loam",IF(AND(AI46&gt;=27,AI46&lt;40,AG46&gt;20,AG46&lt;=45),"Clay loam",IF(AND(AI46&gt;=27,AI46&lt;40,AG46&lt;=20),"Silty clay loam",IF(AND(AI46&gt;=35,AG46&gt;45),"Sandy clay",IF(AND(AI46&gt;=40,AH46&gt;=40),"Silty clay",IF(AND(AI46&gt;=40,AG46&lt;=45,AH46&lt;40),"Clay",""))))))))))))))</f>
      </c>
      <c r="AK46" s="25">
        <f>IF(OR(AD46="",T46="",N46=""),"",ROUND(AD46*T46*N46*(1-N(V46)/100),2))</f>
      </c>
      <c r="AL46" s="26">
        <f>IF(B46="","",IF(NOT(AND(LEFT(B46,3)="OFM",LEN(B46)=13)),"Sample ID must be OFM + 10 digits",IF(AND(C46="SOC",AA46="",AB46=""),"TOC 400 / ROC 600 missing",IF(AND(Z46&lt;&gt;"",AA46&lt;&gt;"",AB46&lt;&gt;"",AC46&lt;&gt;"",ABS(Z46-AA46-AB46-AC46)&gt;0.1),"TC &lt;&gt; TOC400 + ROC600 + TIC900",IF(AND(Z46&lt;&gt;"",AD46&lt;&gt;"",Z46&lt;AD46-0.05),"TC &lt; TOC — impossible",IF(AND(T46&lt;&gt;"",OR(T46&lt;0.6,T46&gt;2.0)),"BD outside 0.6-2.0 — verify",IF(AND(C46="Texture",AJ46="CHECK SUM"),"Sand+Silt+Clay must total 100",IF(AND(AD46&lt;&gt;"",AD46&gt;15),"TOC &gt;15% — organic soil?",IF(AND(C46="SOC",W46="",X46=""),"No dry mass/area — ESM not possible","OK"))))))))</f>
      </c>
    </row>
    <row r="47" spans="1:38" x14ac:dyDescent="0.25">
      <c r="A47" s="15">
        <v>42</v>
      </c>
      <c r="B47" s="15"/>
      <c r="C47" s="15"/>
      <c r="D47" s="15"/>
      <c r="E47" s="15"/>
      <c r="F47" s="15"/>
      <c r="G47" s="15"/>
      <c r="H47" s="15"/>
      <c r="I47" s="15"/>
      <c r="J47" s="15"/>
      <c r="K47" s="16"/>
      <c r="L47" s="17"/>
      <c r="M47" s="17"/>
      <c r="N47" s="18">
        <f>IF(OR(L47="",M47=""),"",M47-L47)</f>
      </c>
      <c r="O47" s="15"/>
      <c r="P47" s="15"/>
      <c r="Q47" s="15"/>
      <c r="R47" s="16"/>
      <c r="S47" s="15"/>
      <c r="T47" s="19"/>
      <c r="U47" s="20"/>
      <c r="V47" s="20"/>
      <c r="W47" s="21"/>
      <c r="X47" s="21"/>
      <c r="Y47" s="22">
        <f>IF(AND(W47&lt;&gt;"",X47&lt;&gt;"",X47&gt;0),ROUND(W47/X47*100,1),IF(OR(T47="",N47=""),"",ROUND(T47*N47*100*(1-N(V47)/100),1)))</f>
      </c>
      <c r="Z47" s="23"/>
      <c r="AA47" s="23"/>
      <c r="AB47" s="23"/>
      <c r="AC47" s="23"/>
      <c r="AD47" s="24">
        <f>IF(AND(AA47="",AB47=""),"",ROUND(N(AA47)+N(AB47),4))</f>
      </c>
      <c r="AE47" s="23"/>
      <c r="AF47" s="25">
        <f>IF(OR(AD47="",AE47="",AE47=0),"",ROUND(AD47/AE47,2))</f>
      </c>
      <c r="AG47" s="20"/>
      <c r="AH47" s="20"/>
      <c r="AI47" s="20"/>
      <c r="AJ47" s="26">
        <f>IF(OR(AG47="",AH47="",AI47=""),"",IF(ABS(AG47+AH47+AI47-100)&gt;1,"CHECK SUM",IF(AND(AH47+1.5*AI47&lt;15),"Sand",IF(AND(AH47+1.5*AI47&gt;=15,AH47+2*AI47&lt;30),"Loamy sand",IF(OR(AND(AI47&gt;=7,AI47&lt;20,AG47&gt;52,AH47+2*AI47&gt;=30),AND(AI47&lt;7,AH47&lt;50,AG47&gt;43,AH47+2*AI47&gt;=30)),"Sandy loam",IF(AND(AI47&gt;=7,AI47&lt;27,AH47&gt;=28,AH47&lt;50,AG47&lt;=52),"Loam",IF(OR(AND(AH47&gt;=50,AI47&gt;=12,AI47&lt;27),AND(AH47&gt;=50,AH47&lt;80,AI47&lt;12)),"Silt loam",IF(AND(AH47&gt;=80,AI47&lt;12),"Silt",IF(AND(AI47&gt;=20,AI47&lt;35,AH47&lt;28,AG47&gt;45),"Sandy clay loam",IF(AND(AI47&gt;=27,AI47&lt;40,AG47&gt;20,AG47&lt;=45),"Clay loam",IF(AND(AI47&gt;=27,AI47&lt;40,AG47&lt;=20),"Silty clay loam",IF(AND(AI47&gt;=35,AG47&gt;45),"Sandy clay",IF(AND(AI47&gt;=40,AH47&gt;=40),"Silty clay",IF(AND(AI47&gt;=40,AG47&lt;=45,AH47&lt;40),"Clay",""))))))))))))))</f>
      </c>
      <c r="AK47" s="25">
        <f>IF(OR(AD47="",T47="",N47=""),"",ROUND(AD47*T47*N47*(1-N(V47)/100),2))</f>
      </c>
      <c r="AL47" s="26">
        <f>IF(B47="","",IF(NOT(AND(LEFT(B47,3)="OFM",LEN(B47)=13)),"Sample ID must be OFM + 10 digits",IF(AND(C47="SOC",AA47="",AB47=""),"TOC 400 / ROC 600 missing",IF(AND(Z47&lt;&gt;"",AA47&lt;&gt;"",AB47&lt;&gt;"",AC47&lt;&gt;"",ABS(Z47-AA47-AB47-AC47)&gt;0.1),"TC &lt;&gt; TOC400 + ROC600 + TIC900",IF(AND(Z47&lt;&gt;"",AD47&lt;&gt;"",Z47&lt;AD47-0.05),"TC &lt; TOC — impossible",IF(AND(T47&lt;&gt;"",OR(T47&lt;0.6,T47&gt;2.0)),"BD outside 0.6-2.0 — verify",IF(AND(C47="Texture",AJ47="CHECK SUM"),"Sand+Silt+Clay must total 100",IF(AND(AD47&lt;&gt;"",AD47&gt;15),"TOC &gt;15% — organic soil?",IF(AND(C47="SOC",W47="",X47=""),"No dry mass/area — ESM not possible","OK"))))))))</f>
      </c>
    </row>
    <row r="48" spans="1:38" x14ac:dyDescent="0.25">
      <c r="A48" s="15">
        <v>43</v>
      </c>
      <c r="B48" s="15"/>
      <c r="C48" s="15"/>
      <c r="D48" s="15"/>
      <c r="E48" s="15"/>
      <c r="F48" s="15"/>
      <c r="G48" s="15"/>
      <c r="H48" s="15"/>
      <c r="I48" s="15"/>
      <c r="J48" s="15"/>
      <c r="K48" s="16"/>
      <c r="L48" s="17"/>
      <c r="M48" s="17"/>
      <c r="N48" s="18">
        <f>IF(OR(L48="",M48=""),"",M48-L48)</f>
      </c>
      <c r="O48" s="15"/>
      <c r="P48" s="15"/>
      <c r="Q48" s="15"/>
      <c r="R48" s="16"/>
      <c r="S48" s="15"/>
      <c r="T48" s="19"/>
      <c r="U48" s="20"/>
      <c r="V48" s="20"/>
      <c r="W48" s="21"/>
      <c r="X48" s="21"/>
      <c r="Y48" s="22">
        <f>IF(AND(W48&lt;&gt;"",X48&lt;&gt;"",X48&gt;0),ROUND(W48/X48*100,1),IF(OR(T48="",N48=""),"",ROUND(T48*N48*100*(1-N(V48)/100),1)))</f>
      </c>
      <c r="Z48" s="23"/>
      <c r="AA48" s="23"/>
      <c r="AB48" s="23"/>
      <c r="AC48" s="23"/>
      <c r="AD48" s="24">
        <f>IF(AND(AA48="",AB48=""),"",ROUND(N(AA48)+N(AB48),4))</f>
      </c>
      <c r="AE48" s="23"/>
      <c r="AF48" s="25">
        <f>IF(OR(AD48="",AE48="",AE48=0),"",ROUND(AD48/AE48,2))</f>
      </c>
      <c r="AG48" s="20"/>
      <c r="AH48" s="20"/>
      <c r="AI48" s="20"/>
      <c r="AJ48" s="26">
        <f>IF(OR(AG48="",AH48="",AI48=""),"",IF(ABS(AG48+AH48+AI48-100)&gt;1,"CHECK SUM",IF(AND(AH48+1.5*AI48&lt;15),"Sand",IF(AND(AH48+1.5*AI48&gt;=15,AH48+2*AI48&lt;30),"Loamy sand",IF(OR(AND(AI48&gt;=7,AI48&lt;20,AG48&gt;52,AH48+2*AI48&gt;=30),AND(AI48&lt;7,AH48&lt;50,AG48&gt;43,AH48+2*AI48&gt;=30)),"Sandy loam",IF(AND(AI48&gt;=7,AI48&lt;27,AH48&gt;=28,AH48&lt;50,AG48&lt;=52),"Loam",IF(OR(AND(AH48&gt;=50,AI48&gt;=12,AI48&lt;27),AND(AH48&gt;=50,AH48&lt;80,AI48&lt;12)),"Silt loam",IF(AND(AH48&gt;=80,AI48&lt;12),"Silt",IF(AND(AI48&gt;=20,AI48&lt;35,AH48&lt;28,AG48&gt;45),"Sandy clay loam",IF(AND(AI48&gt;=27,AI48&lt;40,AG48&gt;20,AG48&lt;=45),"Clay loam",IF(AND(AI48&gt;=27,AI48&lt;40,AG48&lt;=20),"Silty clay loam",IF(AND(AI48&gt;=35,AG48&gt;45),"Sandy clay",IF(AND(AI48&gt;=40,AH48&gt;=40),"Silty clay",IF(AND(AI48&gt;=40,AG48&lt;=45,AH48&lt;40),"Clay",""))))))))))))))</f>
      </c>
      <c r="AK48" s="25">
        <f>IF(OR(AD48="",T48="",N48=""),"",ROUND(AD48*T48*N48*(1-N(V48)/100),2))</f>
      </c>
      <c r="AL48" s="26">
        <f>IF(B48="","",IF(NOT(AND(LEFT(B48,3)="OFM",LEN(B48)=13)),"Sample ID must be OFM + 10 digits",IF(AND(C48="SOC",AA48="",AB48=""),"TOC 400 / ROC 600 missing",IF(AND(Z48&lt;&gt;"",AA48&lt;&gt;"",AB48&lt;&gt;"",AC48&lt;&gt;"",ABS(Z48-AA48-AB48-AC48)&gt;0.1),"TC &lt;&gt; TOC400 + ROC600 + TIC900",IF(AND(Z48&lt;&gt;"",AD48&lt;&gt;"",Z48&lt;AD48-0.05),"TC &lt; TOC — impossible",IF(AND(T48&lt;&gt;"",OR(T48&lt;0.6,T48&gt;2.0)),"BD outside 0.6-2.0 — verify",IF(AND(C48="Texture",AJ48="CHECK SUM"),"Sand+Silt+Clay must total 100",IF(AND(AD48&lt;&gt;"",AD48&gt;15),"TOC &gt;15% — organic soil?",IF(AND(C48="SOC",W48="",X48=""),"No dry mass/area — ESM not possible","OK"))))))))</f>
      </c>
    </row>
    <row r="49" spans="1:38" x14ac:dyDescent="0.25">
      <c r="A49" s="15">
        <v>44</v>
      </c>
      <c r="B49" s="15"/>
      <c r="C49" s="15"/>
      <c r="D49" s="15"/>
      <c r="E49" s="15"/>
      <c r="F49" s="15"/>
      <c r="G49" s="15"/>
      <c r="H49" s="15"/>
      <c r="I49" s="15"/>
      <c r="J49" s="15"/>
      <c r="K49" s="16"/>
      <c r="L49" s="17"/>
      <c r="M49" s="17"/>
      <c r="N49" s="18">
        <f>IF(OR(L49="",M49=""),"",M49-L49)</f>
      </c>
      <c r="O49" s="15"/>
      <c r="P49" s="15"/>
      <c r="Q49" s="15"/>
      <c r="R49" s="16"/>
      <c r="S49" s="15"/>
      <c r="T49" s="19"/>
      <c r="U49" s="20"/>
      <c r="V49" s="20"/>
      <c r="W49" s="21"/>
      <c r="X49" s="21"/>
      <c r="Y49" s="22">
        <f>IF(AND(W49&lt;&gt;"",X49&lt;&gt;"",X49&gt;0),ROUND(W49/X49*100,1),IF(OR(T49="",N49=""),"",ROUND(T49*N49*100*(1-N(V49)/100),1)))</f>
      </c>
      <c r="Z49" s="23"/>
      <c r="AA49" s="23"/>
      <c r="AB49" s="23"/>
      <c r="AC49" s="23"/>
      <c r="AD49" s="24">
        <f>IF(AND(AA49="",AB49=""),"",ROUND(N(AA49)+N(AB49),4))</f>
      </c>
      <c r="AE49" s="23"/>
      <c r="AF49" s="25">
        <f>IF(OR(AD49="",AE49="",AE49=0),"",ROUND(AD49/AE49,2))</f>
      </c>
      <c r="AG49" s="20"/>
      <c r="AH49" s="20"/>
      <c r="AI49" s="20"/>
      <c r="AJ49" s="26">
        <f>IF(OR(AG49="",AH49="",AI49=""),"",IF(ABS(AG49+AH49+AI49-100)&gt;1,"CHECK SUM",IF(AND(AH49+1.5*AI49&lt;15),"Sand",IF(AND(AH49+1.5*AI49&gt;=15,AH49+2*AI49&lt;30),"Loamy sand",IF(OR(AND(AI49&gt;=7,AI49&lt;20,AG49&gt;52,AH49+2*AI49&gt;=30),AND(AI49&lt;7,AH49&lt;50,AG49&gt;43,AH49+2*AI49&gt;=30)),"Sandy loam",IF(AND(AI49&gt;=7,AI49&lt;27,AH49&gt;=28,AH49&lt;50,AG49&lt;=52),"Loam",IF(OR(AND(AH49&gt;=50,AI49&gt;=12,AI49&lt;27),AND(AH49&gt;=50,AH49&lt;80,AI49&lt;12)),"Silt loam",IF(AND(AH49&gt;=80,AI49&lt;12),"Silt",IF(AND(AI49&gt;=20,AI49&lt;35,AH49&lt;28,AG49&gt;45),"Sandy clay loam",IF(AND(AI49&gt;=27,AI49&lt;40,AG49&gt;20,AG49&lt;=45),"Clay loam",IF(AND(AI49&gt;=27,AI49&lt;40,AG49&lt;=20),"Silty clay loam",IF(AND(AI49&gt;=35,AG49&gt;45),"Sandy clay",IF(AND(AI49&gt;=40,AH49&gt;=40),"Silty clay",IF(AND(AI49&gt;=40,AG49&lt;=45,AH49&lt;40),"Clay",""))))))))))))))</f>
      </c>
      <c r="AK49" s="25">
        <f>IF(OR(AD49="",T49="",N49=""),"",ROUND(AD49*T49*N49*(1-N(V49)/100),2))</f>
      </c>
      <c r="AL49" s="26">
        <f>IF(B49="","",IF(NOT(AND(LEFT(B49,3)="OFM",LEN(B49)=13)),"Sample ID must be OFM + 10 digits",IF(AND(C49="SOC",AA49="",AB49=""),"TOC 400 / ROC 600 missing",IF(AND(Z49&lt;&gt;"",AA49&lt;&gt;"",AB49&lt;&gt;"",AC49&lt;&gt;"",ABS(Z49-AA49-AB49-AC49)&gt;0.1),"TC &lt;&gt; TOC400 + ROC600 + TIC900",IF(AND(Z49&lt;&gt;"",AD49&lt;&gt;"",Z49&lt;AD49-0.05),"TC &lt; TOC — impossible",IF(AND(T49&lt;&gt;"",OR(T49&lt;0.6,T49&gt;2.0)),"BD outside 0.6-2.0 — verify",IF(AND(C49="Texture",AJ49="CHECK SUM"),"Sand+Silt+Clay must total 100",IF(AND(AD49&lt;&gt;"",AD49&gt;15),"TOC &gt;15% — organic soil?",IF(AND(C49="SOC",W49="",X49=""),"No dry mass/area — ESM not possible","OK"))))))))</f>
      </c>
    </row>
    <row r="50" spans="1:38" x14ac:dyDescent="0.25">
      <c r="A50" s="15">
        <v>45</v>
      </c>
      <c r="B50" s="15"/>
      <c r="C50" s="15"/>
      <c r="D50" s="15"/>
      <c r="E50" s="15"/>
      <c r="F50" s="15"/>
      <c r="G50" s="15"/>
      <c r="H50" s="15"/>
      <c r="I50" s="15"/>
      <c r="J50" s="15"/>
      <c r="K50" s="16"/>
      <c r="L50" s="17"/>
      <c r="M50" s="17"/>
      <c r="N50" s="18">
        <f>IF(OR(L50="",M50=""),"",M50-L50)</f>
      </c>
      <c r="O50" s="15"/>
      <c r="P50" s="15"/>
      <c r="Q50" s="15"/>
      <c r="R50" s="16"/>
      <c r="S50" s="15"/>
      <c r="T50" s="19"/>
      <c r="U50" s="20"/>
      <c r="V50" s="20"/>
      <c r="W50" s="21"/>
      <c r="X50" s="21"/>
      <c r="Y50" s="22">
        <f>IF(AND(W50&lt;&gt;"",X50&lt;&gt;"",X50&gt;0),ROUND(W50/X50*100,1),IF(OR(T50="",N50=""),"",ROUND(T50*N50*100*(1-N(V50)/100),1)))</f>
      </c>
      <c r="Z50" s="23"/>
      <c r="AA50" s="23"/>
      <c r="AB50" s="23"/>
      <c r="AC50" s="23"/>
      <c r="AD50" s="24">
        <f>IF(AND(AA50="",AB50=""),"",ROUND(N(AA50)+N(AB50),4))</f>
      </c>
      <c r="AE50" s="23"/>
      <c r="AF50" s="25">
        <f>IF(OR(AD50="",AE50="",AE50=0),"",ROUND(AD50/AE50,2))</f>
      </c>
      <c r="AG50" s="20"/>
      <c r="AH50" s="20"/>
      <c r="AI50" s="20"/>
      <c r="AJ50" s="26">
        <f>IF(OR(AG50="",AH50="",AI50=""),"",IF(ABS(AG50+AH50+AI50-100)&gt;1,"CHECK SUM",IF(AND(AH50+1.5*AI50&lt;15),"Sand",IF(AND(AH50+1.5*AI50&gt;=15,AH50+2*AI50&lt;30),"Loamy sand",IF(OR(AND(AI50&gt;=7,AI50&lt;20,AG50&gt;52,AH50+2*AI50&gt;=30),AND(AI50&lt;7,AH50&lt;50,AG50&gt;43,AH50+2*AI50&gt;=30)),"Sandy loam",IF(AND(AI50&gt;=7,AI50&lt;27,AH50&gt;=28,AH50&lt;50,AG50&lt;=52),"Loam",IF(OR(AND(AH50&gt;=50,AI50&gt;=12,AI50&lt;27),AND(AH50&gt;=50,AH50&lt;80,AI50&lt;12)),"Silt loam",IF(AND(AH50&gt;=80,AI50&lt;12),"Silt",IF(AND(AI50&gt;=20,AI50&lt;35,AH50&lt;28,AG50&gt;45),"Sandy clay loam",IF(AND(AI50&gt;=27,AI50&lt;40,AG50&gt;20,AG50&lt;=45),"Clay loam",IF(AND(AI50&gt;=27,AI50&lt;40,AG50&lt;=20),"Silty clay loam",IF(AND(AI50&gt;=35,AG50&gt;45),"Sandy clay",IF(AND(AI50&gt;=40,AH50&gt;=40),"Silty clay",IF(AND(AI50&gt;=40,AG50&lt;=45,AH50&lt;40),"Clay",""))))))))))))))</f>
      </c>
      <c r="AK50" s="25">
        <f>IF(OR(AD50="",T50="",N50=""),"",ROUND(AD50*T50*N50*(1-N(V50)/100),2))</f>
      </c>
      <c r="AL50" s="26">
        <f>IF(B50="","",IF(NOT(AND(LEFT(B50,3)="OFM",LEN(B50)=13)),"Sample ID must be OFM + 10 digits",IF(AND(C50="SOC",AA50="",AB50=""),"TOC 400 / ROC 600 missing",IF(AND(Z50&lt;&gt;"",AA50&lt;&gt;"",AB50&lt;&gt;"",AC50&lt;&gt;"",ABS(Z50-AA50-AB50-AC50)&gt;0.1),"TC &lt;&gt; TOC400 + ROC600 + TIC900",IF(AND(Z50&lt;&gt;"",AD50&lt;&gt;"",Z50&lt;AD50-0.05),"TC &lt; TOC — impossible",IF(AND(T50&lt;&gt;"",OR(T50&lt;0.6,T50&gt;2.0)),"BD outside 0.6-2.0 — verify",IF(AND(C50="Texture",AJ50="CHECK SUM"),"Sand+Silt+Clay must total 100",IF(AND(AD50&lt;&gt;"",AD50&gt;15),"TOC &gt;15% — organic soil?",IF(AND(C50="SOC",W50="",X50=""),"No dry mass/area — ESM not possible","OK"))))))))</f>
      </c>
    </row>
    <row r="51" spans="1:38" x14ac:dyDescent="0.25">
      <c r="A51" s="15">
        <v>46</v>
      </c>
      <c r="B51" s="15"/>
      <c r="C51" s="15"/>
      <c r="D51" s="15"/>
      <c r="E51" s="15"/>
      <c r="F51" s="15"/>
      <c r="G51" s="15"/>
      <c r="H51" s="15"/>
      <c r="I51" s="15"/>
      <c r="J51" s="15"/>
      <c r="K51" s="16"/>
      <c r="L51" s="17"/>
      <c r="M51" s="17"/>
      <c r="N51" s="18">
        <f>IF(OR(L51="",M51=""),"",M51-L51)</f>
      </c>
      <c r="O51" s="15"/>
      <c r="P51" s="15"/>
      <c r="Q51" s="15"/>
      <c r="R51" s="16"/>
      <c r="S51" s="15"/>
      <c r="T51" s="19"/>
      <c r="U51" s="20"/>
      <c r="V51" s="20"/>
      <c r="W51" s="21"/>
      <c r="X51" s="21"/>
      <c r="Y51" s="22">
        <f>IF(AND(W51&lt;&gt;"",X51&lt;&gt;"",X51&gt;0),ROUND(W51/X51*100,1),IF(OR(T51="",N51=""),"",ROUND(T51*N51*100*(1-N(V51)/100),1)))</f>
      </c>
      <c r="Z51" s="23"/>
      <c r="AA51" s="23"/>
      <c r="AB51" s="23"/>
      <c r="AC51" s="23"/>
      <c r="AD51" s="24">
        <f>IF(AND(AA51="",AB51=""),"",ROUND(N(AA51)+N(AB51),4))</f>
      </c>
      <c r="AE51" s="23"/>
      <c r="AF51" s="25">
        <f>IF(OR(AD51="",AE51="",AE51=0),"",ROUND(AD51/AE51,2))</f>
      </c>
      <c r="AG51" s="20"/>
      <c r="AH51" s="20"/>
      <c r="AI51" s="20"/>
      <c r="AJ51" s="26">
        <f>IF(OR(AG51="",AH51="",AI51=""),"",IF(ABS(AG51+AH51+AI51-100)&gt;1,"CHECK SUM",IF(AND(AH51+1.5*AI51&lt;15),"Sand",IF(AND(AH51+1.5*AI51&gt;=15,AH51+2*AI51&lt;30),"Loamy sand",IF(OR(AND(AI51&gt;=7,AI51&lt;20,AG51&gt;52,AH51+2*AI51&gt;=30),AND(AI51&lt;7,AH51&lt;50,AG51&gt;43,AH51+2*AI51&gt;=30)),"Sandy loam",IF(AND(AI51&gt;=7,AI51&lt;27,AH51&gt;=28,AH51&lt;50,AG51&lt;=52),"Loam",IF(OR(AND(AH51&gt;=50,AI51&gt;=12,AI51&lt;27),AND(AH51&gt;=50,AH51&lt;80,AI51&lt;12)),"Silt loam",IF(AND(AH51&gt;=80,AI51&lt;12),"Silt",IF(AND(AI51&gt;=20,AI51&lt;35,AH51&lt;28,AG51&gt;45),"Sandy clay loam",IF(AND(AI51&gt;=27,AI51&lt;40,AG51&gt;20,AG51&lt;=45),"Clay loam",IF(AND(AI51&gt;=27,AI51&lt;40,AG51&lt;=20),"Silty clay loam",IF(AND(AI51&gt;=35,AG51&gt;45),"Sandy clay",IF(AND(AI51&gt;=40,AH51&gt;=40),"Silty clay",IF(AND(AI51&gt;=40,AG51&lt;=45,AH51&lt;40),"Clay",""))))))))))))))</f>
      </c>
      <c r="AK51" s="25">
        <f>IF(OR(AD51="",T51="",N51=""),"",ROUND(AD51*T51*N51*(1-N(V51)/100),2))</f>
      </c>
      <c r="AL51" s="26">
        <f>IF(B51="","",IF(NOT(AND(LEFT(B51,3)="OFM",LEN(B51)=13)),"Sample ID must be OFM + 10 digits",IF(AND(C51="SOC",AA51="",AB51=""),"TOC 400 / ROC 600 missing",IF(AND(Z51&lt;&gt;"",AA51&lt;&gt;"",AB51&lt;&gt;"",AC51&lt;&gt;"",ABS(Z51-AA51-AB51-AC51)&gt;0.1),"TC &lt;&gt; TOC400 + ROC600 + TIC900",IF(AND(Z51&lt;&gt;"",AD51&lt;&gt;"",Z51&lt;AD51-0.05),"TC &lt; TOC — impossible",IF(AND(T51&lt;&gt;"",OR(T51&lt;0.6,T51&gt;2.0)),"BD outside 0.6-2.0 — verify",IF(AND(C51="Texture",AJ51="CHECK SUM"),"Sand+Silt+Clay must total 100",IF(AND(AD51&lt;&gt;"",AD51&gt;15),"TOC &gt;15% — organic soil?",IF(AND(C51="SOC",W51="",X51=""),"No dry mass/area — ESM not possible","OK"))))))))</f>
      </c>
    </row>
    <row r="52" spans="1:38" x14ac:dyDescent="0.25">
      <c r="A52" s="15">
        <v>47</v>
      </c>
      <c r="B52" s="15"/>
      <c r="C52" s="15"/>
      <c r="D52" s="15"/>
      <c r="E52" s="15"/>
      <c r="F52" s="15"/>
      <c r="G52" s="15"/>
      <c r="H52" s="15"/>
      <c r="I52" s="15"/>
      <c r="J52" s="15"/>
      <c r="K52" s="16"/>
      <c r="L52" s="17"/>
      <c r="M52" s="17"/>
      <c r="N52" s="18">
        <f>IF(OR(L52="",M52=""),"",M52-L52)</f>
      </c>
      <c r="O52" s="15"/>
      <c r="P52" s="15"/>
      <c r="Q52" s="15"/>
      <c r="R52" s="16"/>
      <c r="S52" s="15"/>
      <c r="T52" s="19"/>
      <c r="U52" s="20"/>
      <c r="V52" s="20"/>
      <c r="W52" s="21"/>
      <c r="X52" s="21"/>
      <c r="Y52" s="22">
        <f>IF(AND(W52&lt;&gt;"",X52&lt;&gt;"",X52&gt;0),ROUND(W52/X52*100,1),IF(OR(T52="",N52=""),"",ROUND(T52*N52*100*(1-N(V52)/100),1)))</f>
      </c>
      <c r="Z52" s="23"/>
      <c r="AA52" s="23"/>
      <c r="AB52" s="23"/>
      <c r="AC52" s="23"/>
      <c r="AD52" s="24">
        <f>IF(AND(AA52="",AB52=""),"",ROUND(N(AA52)+N(AB52),4))</f>
      </c>
      <c r="AE52" s="23"/>
      <c r="AF52" s="25">
        <f>IF(OR(AD52="",AE52="",AE52=0),"",ROUND(AD52/AE52,2))</f>
      </c>
      <c r="AG52" s="20"/>
      <c r="AH52" s="20"/>
      <c r="AI52" s="20"/>
      <c r="AJ52" s="26">
        <f>IF(OR(AG52="",AH52="",AI52=""),"",IF(ABS(AG52+AH52+AI52-100)&gt;1,"CHECK SUM",IF(AND(AH52+1.5*AI52&lt;15),"Sand",IF(AND(AH52+1.5*AI52&gt;=15,AH52+2*AI52&lt;30),"Loamy sand",IF(OR(AND(AI52&gt;=7,AI52&lt;20,AG52&gt;52,AH52+2*AI52&gt;=30),AND(AI52&lt;7,AH52&lt;50,AG52&gt;43,AH52+2*AI52&gt;=30)),"Sandy loam",IF(AND(AI52&gt;=7,AI52&lt;27,AH52&gt;=28,AH52&lt;50,AG52&lt;=52),"Loam",IF(OR(AND(AH52&gt;=50,AI52&gt;=12,AI52&lt;27),AND(AH52&gt;=50,AH52&lt;80,AI52&lt;12)),"Silt loam",IF(AND(AH52&gt;=80,AI52&lt;12),"Silt",IF(AND(AI52&gt;=20,AI52&lt;35,AH52&lt;28,AG52&gt;45),"Sandy clay loam",IF(AND(AI52&gt;=27,AI52&lt;40,AG52&gt;20,AG52&lt;=45),"Clay loam",IF(AND(AI52&gt;=27,AI52&lt;40,AG52&lt;=20),"Silty clay loam",IF(AND(AI52&gt;=35,AG52&gt;45),"Sandy clay",IF(AND(AI52&gt;=40,AH52&gt;=40),"Silty clay",IF(AND(AI52&gt;=40,AG52&lt;=45,AH52&lt;40),"Clay",""))))))))))))))</f>
      </c>
      <c r="AK52" s="25">
        <f>IF(OR(AD52="",T52="",N52=""),"",ROUND(AD52*T52*N52*(1-N(V52)/100),2))</f>
      </c>
      <c r="AL52" s="26">
        <f>IF(B52="","",IF(NOT(AND(LEFT(B52,3)="OFM",LEN(B52)=13)),"Sample ID must be OFM + 10 digits",IF(AND(C52="SOC",AA52="",AB52=""),"TOC 400 / ROC 600 missing",IF(AND(Z52&lt;&gt;"",AA52&lt;&gt;"",AB52&lt;&gt;"",AC52&lt;&gt;"",ABS(Z52-AA52-AB52-AC52)&gt;0.1),"TC &lt;&gt; TOC400 + ROC600 + TIC900",IF(AND(Z52&lt;&gt;"",AD52&lt;&gt;"",Z52&lt;AD52-0.05),"TC &lt; TOC — impossible",IF(AND(T52&lt;&gt;"",OR(T52&lt;0.6,T52&gt;2.0)),"BD outside 0.6-2.0 — verify",IF(AND(C52="Texture",AJ52="CHECK SUM"),"Sand+Silt+Clay must total 100",IF(AND(AD52&lt;&gt;"",AD52&gt;15),"TOC &gt;15% — organic soil?",IF(AND(C52="SOC",W52="",X52=""),"No dry mass/area — ESM not possible","OK"))))))))</f>
      </c>
    </row>
    <row r="53" spans="1:38" x14ac:dyDescent="0.25">
      <c r="A53" s="15">
        <v>48</v>
      </c>
      <c r="B53" s="15"/>
      <c r="C53" s="15"/>
      <c r="D53" s="15"/>
      <c r="E53" s="15"/>
      <c r="F53" s="15"/>
      <c r="G53" s="15"/>
      <c r="H53" s="15"/>
      <c r="I53" s="15"/>
      <c r="J53" s="15"/>
      <c r="K53" s="16"/>
      <c r="L53" s="17"/>
      <c r="M53" s="17"/>
      <c r="N53" s="18">
        <f>IF(OR(L53="",M53=""),"",M53-L53)</f>
      </c>
      <c r="O53" s="15"/>
      <c r="P53" s="15"/>
      <c r="Q53" s="15"/>
      <c r="R53" s="16"/>
      <c r="S53" s="15"/>
      <c r="T53" s="19"/>
      <c r="U53" s="20"/>
      <c r="V53" s="20"/>
      <c r="W53" s="21"/>
      <c r="X53" s="21"/>
      <c r="Y53" s="22">
        <f>IF(AND(W53&lt;&gt;"",X53&lt;&gt;"",X53&gt;0),ROUND(W53/X53*100,1),IF(OR(T53="",N53=""),"",ROUND(T53*N53*100*(1-N(V53)/100),1)))</f>
      </c>
      <c r="Z53" s="23"/>
      <c r="AA53" s="23"/>
      <c r="AB53" s="23"/>
      <c r="AC53" s="23"/>
      <c r="AD53" s="24">
        <f>IF(AND(AA53="",AB53=""),"",ROUND(N(AA53)+N(AB53),4))</f>
      </c>
      <c r="AE53" s="23"/>
      <c r="AF53" s="25">
        <f>IF(OR(AD53="",AE53="",AE53=0),"",ROUND(AD53/AE53,2))</f>
      </c>
      <c r="AG53" s="20"/>
      <c r="AH53" s="20"/>
      <c r="AI53" s="20"/>
      <c r="AJ53" s="26">
        <f>IF(OR(AG53="",AH53="",AI53=""),"",IF(ABS(AG53+AH53+AI53-100)&gt;1,"CHECK SUM",IF(AND(AH53+1.5*AI53&lt;15),"Sand",IF(AND(AH53+1.5*AI53&gt;=15,AH53+2*AI53&lt;30),"Loamy sand",IF(OR(AND(AI53&gt;=7,AI53&lt;20,AG53&gt;52,AH53+2*AI53&gt;=30),AND(AI53&lt;7,AH53&lt;50,AG53&gt;43,AH53+2*AI53&gt;=30)),"Sandy loam",IF(AND(AI53&gt;=7,AI53&lt;27,AH53&gt;=28,AH53&lt;50,AG53&lt;=52),"Loam",IF(OR(AND(AH53&gt;=50,AI53&gt;=12,AI53&lt;27),AND(AH53&gt;=50,AH53&lt;80,AI53&lt;12)),"Silt loam",IF(AND(AH53&gt;=80,AI53&lt;12),"Silt",IF(AND(AI53&gt;=20,AI53&lt;35,AH53&lt;28,AG53&gt;45),"Sandy clay loam",IF(AND(AI53&gt;=27,AI53&lt;40,AG53&gt;20,AG53&lt;=45),"Clay loam",IF(AND(AI53&gt;=27,AI53&lt;40,AG53&lt;=20),"Silty clay loam",IF(AND(AI53&gt;=35,AG53&gt;45),"Sandy clay",IF(AND(AI53&gt;=40,AH53&gt;=40),"Silty clay",IF(AND(AI53&gt;=40,AG53&lt;=45,AH53&lt;40),"Clay",""))))))))))))))</f>
      </c>
      <c r="AK53" s="25">
        <f>IF(OR(AD53="",T53="",N53=""),"",ROUND(AD53*T53*N53*(1-N(V53)/100),2))</f>
      </c>
      <c r="AL53" s="26">
        <f>IF(B53="","",IF(NOT(AND(LEFT(B53,3)="OFM",LEN(B53)=13)),"Sample ID must be OFM + 10 digits",IF(AND(C53="SOC",AA53="",AB53=""),"TOC 400 / ROC 600 missing",IF(AND(Z53&lt;&gt;"",AA53&lt;&gt;"",AB53&lt;&gt;"",AC53&lt;&gt;"",ABS(Z53-AA53-AB53-AC53)&gt;0.1),"TC &lt;&gt; TOC400 + ROC600 + TIC900",IF(AND(Z53&lt;&gt;"",AD53&lt;&gt;"",Z53&lt;AD53-0.05),"TC &lt; TOC — impossible",IF(AND(T53&lt;&gt;"",OR(T53&lt;0.6,T53&gt;2.0)),"BD outside 0.6-2.0 — verify",IF(AND(C53="Texture",AJ53="CHECK SUM"),"Sand+Silt+Clay must total 100",IF(AND(AD53&lt;&gt;"",AD53&gt;15),"TOC &gt;15% — organic soil?",IF(AND(C53="SOC",W53="",X53=""),"No dry mass/area — ESM not possible","OK"))))))))</f>
      </c>
    </row>
    <row r="54" spans="1:38" x14ac:dyDescent="0.25">
      <c r="A54" s="15">
        <v>49</v>
      </c>
      <c r="B54" s="15"/>
      <c r="C54" s="15"/>
      <c r="D54" s="15"/>
      <c r="E54" s="15"/>
      <c r="F54" s="15"/>
      <c r="G54" s="15"/>
      <c r="H54" s="15"/>
      <c r="I54" s="15"/>
      <c r="J54" s="15"/>
      <c r="K54" s="16"/>
      <c r="L54" s="17"/>
      <c r="M54" s="17"/>
      <c r="N54" s="18">
        <f>IF(OR(L54="",M54=""),"",M54-L54)</f>
      </c>
      <c r="O54" s="15"/>
      <c r="P54" s="15"/>
      <c r="Q54" s="15"/>
      <c r="R54" s="16"/>
      <c r="S54" s="15"/>
      <c r="T54" s="19"/>
      <c r="U54" s="20"/>
      <c r="V54" s="20"/>
      <c r="W54" s="21"/>
      <c r="X54" s="21"/>
      <c r="Y54" s="22">
        <f>IF(AND(W54&lt;&gt;"",X54&lt;&gt;"",X54&gt;0),ROUND(W54/X54*100,1),IF(OR(T54="",N54=""),"",ROUND(T54*N54*100*(1-N(V54)/100),1)))</f>
      </c>
      <c r="Z54" s="23"/>
      <c r="AA54" s="23"/>
      <c r="AB54" s="23"/>
      <c r="AC54" s="23"/>
      <c r="AD54" s="24">
        <f>IF(AND(AA54="",AB54=""),"",ROUND(N(AA54)+N(AB54),4))</f>
      </c>
      <c r="AE54" s="23"/>
      <c r="AF54" s="25">
        <f>IF(OR(AD54="",AE54="",AE54=0),"",ROUND(AD54/AE54,2))</f>
      </c>
      <c r="AG54" s="20"/>
      <c r="AH54" s="20"/>
      <c r="AI54" s="20"/>
      <c r="AJ54" s="26">
        <f>IF(OR(AG54="",AH54="",AI54=""),"",IF(ABS(AG54+AH54+AI54-100)&gt;1,"CHECK SUM",IF(AND(AH54+1.5*AI54&lt;15),"Sand",IF(AND(AH54+1.5*AI54&gt;=15,AH54+2*AI54&lt;30),"Loamy sand",IF(OR(AND(AI54&gt;=7,AI54&lt;20,AG54&gt;52,AH54+2*AI54&gt;=30),AND(AI54&lt;7,AH54&lt;50,AG54&gt;43,AH54+2*AI54&gt;=30)),"Sandy loam",IF(AND(AI54&gt;=7,AI54&lt;27,AH54&gt;=28,AH54&lt;50,AG54&lt;=52),"Loam",IF(OR(AND(AH54&gt;=50,AI54&gt;=12,AI54&lt;27),AND(AH54&gt;=50,AH54&lt;80,AI54&lt;12)),"Silt loam",IF(AND(AH54&gt;=80,AI54&lt;12),"Silt",IF(AND(AI54&gt;=20,AI54&lt;35,AH54&lt;28,AG54&gt;45),"Sandy clay loam",IF(AND(AI54&gt;=27,AI54&lt;40,AG54&gt;20,AG54&lt;=45),"Clay loam",IF(AND(AI54&gt;=27,AI54&lt;40,AG54&lt;=20),"Silty clay loam",IF(AND(AI54&gt;=35,AG54&gt;45),"Sandy clay",IF(AND(AI54&gt;=40,AH54&gt;=40),"Silty clay",IF(AND(AI54&gt;=40,AG54&lt;=45,AH54&lt;40),"Clay",""))))))))))))))</f>
      </c>
      <c r="AK54" s="25">
        <f>IF(OR(AD54="",T54="",N54=""),"",ROUND(AD54*T54*N54*(1-N(V54)/100),2))</f>
      </c>
      <c r="AL54" s="26">
        <f>IF(B54="","",IF(NOT(AND(LEFT(B54,3)="OFM",LEN(B54)=13)),"Sample ID must be OFM + 10 digits",IF(AND(C54="SOC",AA54="",AB54=""),"TOC 400 / ROC 600 missing",IF(AND(Z54&lt;&gt;"",AA54&lt;&gt;"",AB54&lt;&gt;"",AC54&lt;&gt;"",ABS(Z54-AA54-AB54-AC54)&gt;0.1),"TC &lt;&gt; TOC400 + ROC600 + TIC900",IF(AND(Z54&lt;&gt;"",AD54&lt;&gt;"",Z54&lt;AD54-0.05),"TC &lt; TOC — impossible",IF(AND(T54&lt;&gt;"",OR(T54&lt;0.6,T54&gt;2.0)),"BD outside 0.6-2.0 — verify",IF(AND(C54="Texture",AJ54="CHECK SUM"),"Sand+Silt+Clay must total 100",IF(AND(AD54&lt;&gt;"",AD54&gt;15),"TOC &gt;15% — organic soil?",IF(AND(C54="SOC",W54="",X54=""),"No dry mass/area — ESM not possible","OK"))))))))</f>
      </c>
    </row>
    <row r="55" spans="1:38" x14ac:dyDescent="0.25">
      <c r="A55" s="15">
        <v>50</v>
      </c>
      <c r="B55" s="15"/>
      <c r="C55" s="15"/>
      <c r="D55" s="15"/>
      <c r="E55" s="15"/>
      <c r="F55" s="15"/>
      <c r="G55" s="15"/>
      <c r="H55" s="15"/>
      <c r="I55" s="15"/>
      <c r="J55" s="15"/>
      <c r="K55" s="16"/>
      <c r="L55" s="17"/>
      <c r="M55" s="17"/>
      <c r="N55" s="18">
        <f>IF(OR(L55="",M55=""),"",M55-L55)</f>
      </c>
      <c r="O55" s="15"/>
      <c r="P55" s="15"/>
      <c r="Q55" s="15"/>
      <c r="R55" s="16"/>
      <c r="S55" s="15"/>
      <c r="T55" s="19"/>
      <c r="U55" s="20"/>
      <c r="V55" s="20"/>
      <c r="W55" s="21"/>
      <c r="X55" s="21"/>
      <c r="Y55" s="22">
        <f>IF(AND(W55&lt;&gt;"",X55&lt;&gt;"",X55&gt;0),ROUND(W55/X55*100,1),IF(OR(T55="",N55=""),"",ROUND(T55*N55*100*(1-N(V55)/100),1)))</f>
      </c>
      <c r="Z55" s="23"/>
      <c r="AA55" s="23"/>
      <c r="AB55" s="23"/>
      <c r="AC55" s="23"/>
      <c r="AD55" s="24">
        <f>IF(AND(AA55="",AB55=""),"",ROUND(N(AA55)+N(AB55),4))</f>
      </c>
      <c r="AE55" s="23"/>
      <c r="AF55" s="25">
        <f>IF(OR(AD55="",AE55="",AE55=0),"",ROUND(AD55/AE55,2))</f>
      </c>
      <c r="AG55" s="20"/>
      <c r="AH55" s="20"/>
      <c r="AI55" s="20"/>
      <c r="AJ55" s="26">
        <f>IF(OR(AG55="",AH55="",AI55=""),"",IF(ABS(AG55+AH55+AI55-100)&gt;1,"CHECK SUM",IF(AND(AH55+1.5*AI55&lt;15),"Sand",IF(AND(AH55+1.5*AI55&gt;=15,AH55+2*AI55&lt;30),"Loamy sand",IF(OR(AND(AI55&gt;=7,AI55&lt;20,AG55&gt;52,AH55+2*AI55&gt;=30),AND(AI55&lt;7,AH55&lt;50,AG55&gt;43,AH55+2*AI55&gt;=30)),"Sandy loam",IF(AND(AI55&gt;=7,AI55&lt;27,AH55&gt;=28,AH55&lt;50,AG55&lt;=52),"Loam",IF(OR(AND(AH55&gt;=50,AI55&gt;=12,AI55&lt;27),AND(AH55&gt;=50,AH55&lt;80,AI55&lt;12)),"Silt loam",IF(AND(AH55&gt;=80,AI55&lt;12),"Silt",IF(AND(AI55&gt;=20,AI55&lt;35,AH55&lt;28,AG55&gt;45),"Sandy clay loam",IF(AND(AI55&gt;=27,AI55&lt;40,AG55&gt;20,AG55&lt;=45),"Clay loam",IF(AND(AI55&gt;=27,AI55&lt;40,AG55&lt;=20),"Silty clay loam",IF(AND(AI55&gt;=35,AG55&gt;45),"Sandy clay",IF(AND(AI55&gt;=40,AH55&gt;=40),"Silty clay",IF(AND(AI55&gt;=40,AG55&lt;=45,AH55&lt;40),"Clay",""))))))))))))))</f>
      </c>
      <c r="AK55" s="25">
        <f>IF(OR(AD55="",T55="",N55=""),"",ROUND(AD55*T55*N55*(1-N(V55)/100),2))</f>
      </c>
      <c r="AL55" s="26">
        <f>IF(B55="","",IF(NOT(AND(LEFT(B55,3)="OFM",LEN(B55)=13)),"Sample ID must be OFM + 10 digits",IF(AND(C55="SOC",AA55="",AB55=""),"TOC 400 / ROC 600 missing",IF(AND(Z55&lt;&gt;"",AA55&lt;&gt;"",AB55&lt;&gt;"",AC55&lt;&gt;"",ABS(Z55-AA55-AB55-AC55)&gt;0.1),"TC &lt;&gt; TOC400 + ROC600 + TIC900",IF(AND(Z55&lt;&gt;"",AD55&lt;&gt;"",Z55&lt;AD55-0.05),"TC &lt; TOC — impossible",IF(AND(T55&lt;&gt;"",OR(T55&lt;0.6,T55&gt;2.0)),"BD outside 0.6-2.0 — verify",IF(AND(C55="Texture",AJ55="CHECK SUM"),"Sand+Silt+Clay must total 100",IF(AND(AD55&lt;&gt;"",AD55&gt;15),"TOC &gt;15% — organic soil?",IF(AND(C55="SOC",W55="",X55=""),"No dry mass/area — ESM not possible","OK"))))))))</f>
      </c>
    </row>
    <row r="56" spans="1:38" x14ac:dyDescent="0.25">
      <c r="A56" s="15">
        <v>51</v>
      </c>
      <c r="B56" s="15"/>
      <c r="C56" s="15"/>
      <c r="D56" s="15"/>
      <c r="E56" s="15"/>
      <c r="F56" s="15"/>
      <c r="G56" s="15"/>
      <c r="H56" s="15"/>
      <c r="I56" s="15"/>
      <c r="J56" s="15"/>
      <c r="K56" s="16"/>
      <c r="L56" s="17"/>
      <c r="M56" s="17"/>
      <c r="N56" s="18">
        <f>IF(OR(L56="",M56=""),"",M56-L56)</f>
      </c>
      <c r="O56" s="15"/>
      <c r="P56" s="15"/>
      <c r="Q56" s="15"/>
      <c r="R56" s="16"/>
      <c r="S56" s="15"/>
      <c r="T56" s="19"/>
      <c r="U56" s="20"/>
      <c r="V56" s="20"/>
      <c r="W56" s="21"/>
      <c r="X56" s="21"/>
      <c r="Y56" s="22">
        <f>IF(AND(W56&lt;&gt;"",X56&lt;&gt;"",X56&gt;0),ROUND(W56/X56*100,1),IF(OR(T56="",N56=""),"",ROUND(T56*N56*100*(1-N(V56)/100),1)))</f>
      </c>
      <c r="Z56" s="23"/>
      <c r="AA56" s="23"/>
      <c r="AB56" s="23"/>
      <c r="AC56" s="23"/>
      <c r="AD56" s="24">
        <f>IF(AND(AA56="",AB56=""),"",ROUND(N(AA56)+N(AB56),4))</f>
      </c>
      <c r="AE56" s="23"/>
      <c r="AF56" s="25">
        <f>IF(OR(AD56="",AE56="",AE56=0),"",ROUND(AD56/AE56,2))</f>
      </c>
      <c r="AG56" s="20"/>
      <c r="AH56" s="20"/>
      <c r="AI56" s="20"/>
      <c r="AJ56" s="26">
        <f>IF(OR(AG56="",AH56="",AI56=""),"",IF(ABS(AG56+AH56+AI56-100)&gt;1,"CHECK SUM",IF(AND(AH56+1.5*AI56&lt;15),"Sand",IF(AND(AH56+1.5*AI56&gt;=15,AH56+2*AI56&lt;30),"Loamy sand",IF(OR(AND(AI56&gt;=7,AI56&lt;20,AG56&gt;52,AH56+2*AI56&gt;=30),AND(AI56&lt;7,AH56&lt;50,AG56&gt;43,AH56+2*AI56&gt;=30)),"Sandy loam",IF(AND(AI56&gt;=7,AI56&lt;27,AH56&gt;=28,AH56&lt;50,AG56&lt;=52),"Loam",IF(OR(AND(AH56&gt;=50,AI56&gt;=12,AI56&lt;27),AND(AH56&gt;=50,AH56&lt;80,AI56&lt;12)),"Silt loam",IF(AND(AH56&gt;=80,AI56&lt;12),"Silt",IF(AND(AI56&gt;=20,AI56&lt;35,AH56&lt;28,AG56&gt;45),"Sandy clay loam",IF(AND(AI56&gt;=27,AI56&lt;40,AG56&gt;20,AG56&lt;=45),"Clay loam",IF(AND(AI56&gt;=27,AI56&lt;40,AG56&lt;=20),"Silty clay loam",IF(AND(AI56&gt;=35,AG56&gt;45),"Sandy clay",IF(AND(AI56&gt;=40,AH56&gt;=40),"Silty clay",IF(AND(AI56&gt;=40,AG56&lt;=45,AH56&lt;40),"Clay",""))))))))))))))</f>
      </c>
      <c r="AK56" s="25">
        <f>IF(OR(AD56="",T56="",N56=""),"",ROUND(AD56*T56*N56*(1-N(V56)/100),2))</f>
      </c>
      <c r="AL56" s="26">
        <f>IF(B56="","",IF(NOT(AND(LEFT(B56,3)="OFM",LEN(B56)=13)),"Sample ID must be OFM + 10 digits",IF(AND(C56="SOC",AA56="",AB56=""),"TOC 400 / ROC 600 missing",IF(AND(Z56&lt;&gt;"",AA56&lt;&gt;"",AB56&lt;&gt;"",AC56&lt;&gt;"",ABS(Z56-AA56-AB56-AC56)&gt;0.1),"TC &lt;&gt; TOC400 + ROC600 + TIC900",IF(AND(Z56&lt;&gt;"",AD56&lt;&gt;"",Z56&lt;AD56-0.05),"TC &lt; TOC — impossible",IF(AND(T56&lt;&gt;"",OR(T56&lt;0.6,T56&gt;2.0)),"BD outside 0.6-2.0 — verify",IF(AND(C56="Texture",AJ56="CHECK SUM"),"Sand+Silt+Clay must total 100",IF(AND(AD56&lt;&gt;"",AD56&gt;15),"TOC &gt;15% — organic soil?",IF(AND(C56="SOC",W56="",X56=""),"No dry mass/area — ESM not possible","OK"))))))))</f>
      </c>
    </row>
    <row r="57" spans="1:38" x14ac:dyDescent="0.25">
      <c r="A57" s="15">
        <v>52</v>
      </c>
      <c r="B57" s="15"/>
      <c r="C57" s="15"/>
      <c r="D57" s="15"/>
      <c r="E57" s="15"/>
      <c r="F57" s="15"/>
      <c r="G57" s="15"/>
      <c r="H57" s="15"/>
      <c r="I57" s="15"/>
      <c r="J57" s="15"/>
      <c r="K57" s="16"/>
      <c r="L57" s="17"/>
      <c r="M57" s="17"/>
      <c r="N57" s="18">
        <f>IF(OR(L57="",M57=""),"",M57-L57)</f>
      </c>
      <c r="O57" s="15"/>
      <c r="P57" s="15"/>
      <c r="Q57" s="15"/>
      <c r="R57" s="16"/>
      <c r="S57" s="15"/>
      <c r="T57" s="19"/>
      <c r="U57" s="20"/>
      <c r="V57" s="20"/>
      <c r="W57" s="21"/>
      <c r="X57" s="21"/>
      <c r="Y57" s="22">
        <f>IF(AND(W57&lt;&gt;"",X57&lt;&gt;"",X57&gt;0),ROUND(W57/X57*100,1),IF(OR(T57="",N57=""),"",ROUND(T57*N57*100*(1-N(V57)/100),1)))</f>
      </c>
      <c r="Z57" s="23"/>
      <c r="AA57" s="23"/>
      <c r="AB57" s="23"/>
      <c r="AC57" s="23"/>
      <c r="AD57" s="24">
        <f>IF(AND(AA57="",AB57=""),"",ROUND(N(AA57)+N(AB57),4))</f>
      </c>
      <c r="AE57" s="23"/>
      <c r="AF57" s="25">
        <f>IF(OR(AD57="",AE57="",AE57=0),"",ROUND(AD57/AE57,2))</f>
      </c>
      <c r="AG57" s="20"/>
      <c r="AH57" s="20"/>
      <c r="AI57" s="20"/>
      <c r="AJ57" s="26">
        <f>IF(OR(AG57="",AH57="",AI57=""),"",IF(ABS(AG57+AH57+AI57-100)&gt;1,"CHECK SUM",IF(AND(AH57+1.5*AI57&lt;15),"Sand",IF(AND(AH57+1.5*AI57&gt;=15,AH57+2*AI57&lt;30),"Loamy sand",IF(OR(AND(AI57&gt;=7,AI57&lt;20,AG57&gt;52,AH57+2*AI57&gt;=30),AND(AI57&lt;7,AH57&lt;50,AG57&gt;43,AH57+2*AI57&gt;=30)),"Sandy loam",IF(AND(AI57&gt;=7,AI57&lt;27,AH57&gt;=28,AH57&lt;50,AG57&lt;=52),"Loam",IF(OR(AND(AH57&gt;=50,AI57&gt;=12,AI57&lt;27),AND(AH57&gt;=50,AH57&lt;80,AI57&lt;12)),"Silt loam",IF(AND(AH57&gt;=80,AI57&lt;12),"Silt",IF(AND(AI57&gt;=20,AI57&lt;35,AH57&lt;28,AG57&gt;45),"Sandy clay loam",IF(AND(AI57&gt;=27,AI57&lt;40,AG57&gt;20,AG57&lt;=45),"Clay loam",IF(AND(AI57&gt;=27,AI57&lt;40,AG57&lt;=20),"Silty clay loam",IF(AND(AI57&gt;=35,AG57&gt;45),"Sandy clay",IF(AND(AI57&gt;=40,AH57&gt;=40),"Silty clay",IF(AND(AI57&gt;=40,AG57&lt;=45,AH57&lt;40),"Clay",""))))))))))))))</f>
      </c>
      <c r="AK57" s="25">
        <f>IF(OR(AD57="",T57="",N57=""),"",ROUND(AD57*T57*N57*(1-N(V57)/100),2))</f>
      </c>
      <c r="AL57" s="26">
        <f>IF(B57="","",IF(NOT(AND(LEFT(B57,3)="OFM",LEN(B57)=13)),"Sample ID must be OFM + 10 digits",IF(AND(C57="SOC",AA57="",AB57=""),"TOC 400 / ROC 600 missing",IF(AND(Z57&lt;&gt;"",AA57&lt;&gt;"",AB57&lt;&gt;"",AC57&lt;&gt;"",ABS(Z57-AA57-AB57-AC57)&gt;0.1),"TC &lt;&gt; TOC400 + ROC600 + TIC900",IF(AND(Z57&lt;&gt;"",AD57&lt;&gt;"",Z57&lt;AD57-0.05),"TC &lt; TOC — impossible",IF(AND(T57&lt;&gt;"",OR(T57&lt;0.6,T57&gt;2.0)),"BD outside 0.6-2.0 — verify",IF(AND(C57="Texture",AJ57="CHECK SUM"),"Sand+Silt+Clay must total 100",IF(AND(AD57&lt;&gt;"",AD57&gt;15),"TOC &gt;15% — organic soil?",IF(AND(C57="SOC",W57="",X57=""),"No dry mass/area — ESM not possible","OK"))))))))</f>
      </c>
    </row>
    <row r="58" spans="1:38" x14ac:dyDescent="0.25">
      <c r="A58" s="15">
        <v>53</v>
      </c>
      <c r="B58" s="15"/>
      <c r="C58" s="15"/>
      <c r="D58" s="15"/>
      <c r="E58" s="15"/>
      <c r="F58" s="15"/>
      <c r="G58" s="15"/>
      <c r="H58" s="15"/>
      <c r="I58" s="15"/>
      <c r="J58" s="15"/>
      <c r="K58" s="16"/>
      <c r="L58" s="17"/>
      <c r="M58" s="17"/>
      <c r="N58" s="18">
        <f>IF(OR(L58="",M58=""),"",M58-L58)</f>
      </c>
      <c r="O58" s="15"/>
      <c r="P58" s="15"/>
      <c r="Q58" s="15"/>
      <c r="R58" s="16"/>
      <c r="S58" s="15"/>
      <c r="T58" s="19"/>
      <c r="U58" s="20"/>
      <c r="V58" s="20"/>
      <c r="W58" s="21"/>
      <c r="X58" s="21"/>
      <c r="Y58" s="22">
        <f>IF(AND(W58&lt;&gt;"",X58&lt;&gt;"",X58&gt;0),ROUND(W58/X58*100,1),IF(OR(T58="",N58=""),"",ROUND(T58*N58*100*(1-N(V58)/100),1)))</f>
      </c>
      <c r="Z58" s="23"/>
      <c r="AA58" s="23"/>
      <c r="AB58" s="23"/>
      <c r="AC58" s="23"/>
      <c r="AD58" s="24">
        <f>IF(AND(AA58="",AB58=""),"",ROUND(N(AA58)+N(AB58),4))</f>
      </c>
      <c r="AE58" s="23"/>
      <c r="AF58" s="25">
        <f>IF(OR(AD58="",AE58="",AE58=0),"",ROUND(AD58/AE58,2))</f>
      </c>
      <c r="AG58" s="20"/>
      <c r="AH58" s="20"/>
      <c r="AI58" s="20"/>
      <c r="AJ58" s="26">
        <f>IF(OR(AG58="",AH58="",AI58=""),"",IF(ABS(AG58+AH58+AI58-100)&gt;1,"CHECK SUM",IF(AND(AH58+1.5*AI58&lt;15),"Sand",IF(AND(AH58+1.5*AI58&gt;=15,AH58+2*AI58&lt;30),"Loamy sand",IF(OR(AND(AI58&gt;=7,AI58&lt;20,AG58&gt;52,AH58+2*AI58&gt;=30),AND(AI58&lt;7,AH58&lt;50,AG58&gt;43,AH58+2*AI58&gt;=30)),"Sandy loam",IF(AND(AI58&gt;=7,AI58&lt;27,AH58&gt;=28,AH58&lt;50,AG58&lt;=52),"Loam",IF(OR(AND(AH58&gt;=50,AI58&gt;=12,AI58&lt;27),AND(AH58&gt;=50,AH58&lt;80,AI58&lt;12)),"Silt loam",IF(AND(AH58&gt;=80,AI58&lt;12),"Silt",IF(AND(AI58&gt;=20,AI58&lt;35,AH58&lt;28,AG58&gt;45),"Sandy clay loam",IF(AND(AI58&gt;=27,AI58&lt;40,AG58&gt;20,AG58&lt;=45),"Clay loam",IF(AND(AI58&gt;=27,AI58&lt;40,AG58&lt;=20),"Silty clay loam",IF(AND(AI58&gt;=35,AG58&gt;45),"Sandy clay",IF(AND(AI58&gt;=40,AH58&gt;=40),"Silty clay",IF(AND(AI58&gt;=40,AG58&lt;=45,AH58&lt;40),"Clay",""))))))))))))))</f>
      </c>
      <c r="AK58" s="25">
        <f>IF(OR(AD58="",T58="",N58=""),"",ROUND(AD58*T58*N58*(1-N(V58)/100),2))</f>
      </c>
      <c r="AL58" s="26">
        <f>IF(B58="","",IF(NOT(AND(LEFT(B58,3)="OFM",LEN(B58)=13)),"Sample ID must be OFM + 10 digits",IF(AND(C58="SOC",AA58="",AB58=""),"TOC 400 / ROC 600 missing",IF(AND(Z58&lt;&gt;"",AA58&lt;&gt;"",AB58&lt;&gt;"",AC58&lt;&gt;"",ABS(Z58-AA58-AB58-AC58)&gt;0.1),"TC &lt;&gt; TOC400 + ROC600 + TIC900",IF(AND(Z58&lt;&gt;"",AD58&lt;&gt;"",Z58&lt;AD58-0.05),"TC &lt; TOC — impossible",IF(AND(T58&lt;&gt;"",OR(T58&lt;0.6,T58&gt;2.0)),"BD outside 0.6-2.0 — verify",IF(AND(C58="Texture",AJ58="CHECK SUM"),"Sand+Silt+Clay must total 100",IF(AND(AD58&lt;&gt;"",AD58&gt;15),"TOC &gt;15% — organic soil?",IF(AND(C58="SOC",W58="",X58=""),"No dry mass/area — ESM not possible","OK"))))))))</f>
      </c>
    </row>
    <row r="59" spans="1:38" x14ac:dyDescent="0.25">
      <c r="A59" s="15">
        <v>54</v>
      </c>
      <c r="B59" s="15"/>
      <c r="C59" s="15"/>
      <c r="D59" s="15"/>
      <c r="E59" s="15"/>
      <c r="F59" s="15"/>
      <c r="G59" s="15"/>
      <c r="H59" s="15"/>
      <c r="I59" s="15"/>
      <c r="J59" s="15"/>
      <c r="K59" s="16"/>
      <c r="L59" s="17"/>
      <c r="M59" s="17"/>
      <c r="N59" s="18">
        <f>IF(OR(L59="",M59=""),"",M59-L59)</f>
      </c>
      <c r="O59" s="15"/>
      <c r="P59" s="15"/>
      <c r="Q59" s="15"/>
      <c r="R59" s="16"/>
      <c r="S59" s="15"/>
      <c r="T59" s="19"/>
      <c r="U59" s="20"/>
      <c r="V59" s="20"/>
      <c r="W59" s="21"/>
      <c r="X59" s="21"/>
      <c r="Y59" s="22">
        <f>IF(AND(W59&lt;&gt;"",X59&lt;&gt;"",X59&gt;0),ROUND(W59/X59*100,1),IF(OR(T59="",N59=""),"",ROUND(T59*N59*100*(1-N(V59)/100),1)))</f>
      </c>
      <c r="Z59" s="23"/>
      <c r="AA59" s="23"/>
      <c r="AB59" s="23"/>
      <c r="AC59" s="23"/>
      <c r="AD59" s="24">
        <f>IF(AND(AA59="",AB59=""),"",ROUND(N(AA59)+N(AB59),4))</f>
      </c>
      <c r="AE59" s="23"/>
      <c r="AF59" s="25">
        <f>IF(OR(AD59="",AE59="",AE59=0),"",ROUND(AD59/AE59,2))</f>
      </c>
      <c r="AG59" s="20"/>
      <c r="AH59" s="20"/>
      <c r="AI59" s="20"/>
      <c r="AJ59" s="26">
        <f>IF(OR(AG59="",AH59="",AI59=""),"",IF(ABS(AG59+AH59+AI59-100)&gt;1,"CHECK SUM",IF(AND(AH59+1.5*AI59&lt;15),"Sand",IF(AND(AH59+1.5*AI59&gt;=15,AH59+2*AI59&lt;30),"Loamy sand",IF(OR(AND(AI59&gt;=7,AI59&lt;20,AG59&gt;52,AH59+2*AI59&gt;=30),AND(AI59&lt;7,AH59&lt;50,AG59&gt;43,AH59+2*AI59&gt;=30)),"Sandy loam",IF(AND(AI59&gt;=7,AI59&lt;27,AH59&gt;=28,AH59&lt;50,AG59&lt;=52),"Loam",IF(OR(AND(AH59&gt;=50,AI59&gt;=12,AI59&lt;27),AND(AH59&gt;=50,AH59&lt;80,AI59&lt;12)),"Silt loam",IF(AND(AH59&gt;=80,AI59&lt;12),"Silt",IF(AND(AI59&gt;=20,AI59&lt;35,AH59&lt;28,AG59&gt;45),"Sandy clay loam",IF(AND(AI59&gt;=27,AI59&lt;40,AG59&gt;20,AG59&lt;=45),"Clay loam",IF(AND(AI59&gt;=27,AI59&lt;40,AG59&lt;=20),"Silty clay loam",IF(AND(AI59&gt;=35,AG59&gt;45),"Sandy clay",IF(AND(AI59&gt;=40,AH59&gt;=40),"Silty clay",IF(AND(AI59&gt;=40,AG59&lt;=45,AH59&lt;40),"Clay",""))))))))))))))</f>
      </c>
      <c r="AK59" s="25">
        <f>IF(OR(AD59="",T59="",N59=""),"",ROUND(AD59*T59*N59*(1-N(V59)/100),2))</f>
      </c>
      <c r="AL59" s="26">
        <f>IF(B59="","",IF(NOT(AND(LEFT(B59,3)="OFM",LEN(B59)=13)),"Sample ID must be OFM + 10 digits",IF(AND(C59="SOC",AA59="",AB59=""),"TOC 400 / ROC 600 missing",IF(AND(Z59&lt;&gt;"",AA59&lt;&gt;"",AB59&lt;&gt;"",AC59&lt;&gt;"",ABS(Z59-AA59-AB59-AC59)&gt;0.1),"TC &lt;&gt; TOC400 + ROC600 + TIC900",IF(AND(Z59&lt;&gt;"",AD59&lt;&gt;"",Z59&lt;AD59-0.05),"TC &lt; TOC — impossible",IF(AND(T59&lt;&gt;"",OR(T59&lt;0.6,T59&gt;2.0)),"BD outside 0.6-2.0 — verify",IF(AND(C59="Texture",AJ59="CHECK SUM"),"Sand+Silt+Clay must total 100",IF(AND(AD59&lt;&gt;"",AD59&gt;15),"TOC &gt;15% — organic soil?",IF(AND(C59="SOC",W59="",X59=""),"No dry mass/area — ESM not possible","OK"))))))))</f>
      </c>
    </row>
    <row r="60" spans="1:38" x14ac:dyDescent="0.25">
      <c r="A60" s="15">
        <v>55</v>
      </c>
      <c r="B60" s="15"/>
      <c r="C60" s="15"/>
      <c r="D60" s="15"/>
      <c r="E60" s="15"/>
      <c r="F60" s="15"/>
      <c r="G60" s="15"/>
      <c r="H60" s="15"/>
      <c r="I60" s="15"/>
      <c r="J60" s="15"/>
      <c r="K60" s="16"/>
      <c r="L60" s="17"/>
      <c r="M60" s="17"/>
      <c r="N60" s="18">
        <f>IF(OR(L60="",M60=""),"",M60-L60)</f>
      </c>
      <c r="O60" s="15"/>
      <c r="P60" s="15"/>
      <c r="Q60" s="15"/>
      <c r="R60" s="16"/>
      <c r="S60" s="15"/>
      <c r="T60" s="19"/>
      <c r="U60" s="20"/>
      <c r="V60" s="20"/>
      <c r="W60" s="21"/>
      <c r="X60" s="21"/>
      <c r="Y60" s="22">
        <f>IF(AND(W60&lt;&gt;"",X60&lt;&gt;"",X60&gt;0),ROUND(W60/X60*100,1),IF(OR(T60="",N60=""),"",ROUND(T60*N60*100*(1-N(V60)/100),1)))</f>
      </c>
      <c r="Z60" s="23"/>
      <c r="AA60" s="23"/>
      <c r="AB60" s="23"/>
      <c r="AC60" s="23"/>
      <c r="AD60" s="24">
        <f>IF(AND(AA60="",AB60=""),"",ROUND(N(AA60)+N(AB60),4))</f>
      </c>
      <c r="AE60" s="23"/>
      <c r="AF60" s="25">
        <f>IF(OR(AD60="",AE60="",AE60=0),"",ROUND(AD60/AE60,2))</f>
      </c>
      <c r="AG60" s="20"/>
      <c r="AH60" s="20"/>
      <c r="AI60" s="20"/>
      <c r="AJ60" s="26">
        <f>IF(OR(AG60="",AH60="",AI60=""),"",IF(ABS(AG60+AH60+AI60-100)&gt;1,"CHECK SUM",IF(AND(AH60+1.5*AI60&lt;15),"Sand",IF(AND(AH60+1.5*AI60&gt;=15,AH60+2*AI60&lt;30),"Loamy sand",IF(OR(AND(AI60&gt;=7,AI60&lt;20,AG60&gt;52,AH60+2*AI60&gt;=30),AND(AI60&lt;7,AH60&lt;50,AG60&gt;43,AH60+2*AI60&gt;=30)),"Sandy loam",IF(AND(AI60&gt;=7,AI60&lt;27,AH60&gt;=28,AH60&lt;50,AG60&lt;=52),"Loam",IF(OR(AND(AH60&gt;=50,AI60&gt;=12,AI60&lt;27),AND(AH60&gt;=50,AH60&lt;80,AI60&lt;12)),"Silt loam",IF(AND(AH60&gt;=80,AI60&lt;12),"Silt",IF(AND(AI60&gt;=20,AI60&lt;35,AH60&lt;28,AG60&gt;45),"Sandy clay loam",IF(AND(AI60&gt;=27,AI60&lt;40,AG60&gt;20,AG60&lt;=45),"Clay loam",IF(AND(AI60&gt;=27,AI60&lt;40,AG60&lt;=20),"Silty clay loam",IF(AND(AI60&gt;=35,AG60&gt;45),"Sandy clay",IF(AND(AI60&gt;=40,AH60&gt;=40),"Silty clay",IF(AND(AI60&gt;=40,AG60&lt;=45,AH60&lt;40),"Clay",""))))))))))))))</f>
      </c>
      <c r="AK60" s="25">
        <f>IF(OR(AD60="",T60="",N60=""),"",ROUND(AD60*T60*N60*(1-N(V60)/100),2))</f>
      </c>
      <c r="AL60" s="26">
        <f>IF(B60="","",IF(NOT(AND(LEFT(B60,3)="OFM",LEN(B60)=13)),"Sample ID must be OFM + 10 digits",IF(AND(C60="SOC",AA60="",AB60=""),"TOC 400 / ROC 600 missing",IF(AND(Z60&lt;&gt;"",AA60&lt;&gt;"",AB60&lt;&gt;"",AC60&lt;&gt;"",ABS(Z60-AA60-AB60-AC60)&gt;0.1),"TC &lt;&gt; TOC400 + ROC600 + TIC900",IF(AND(Z60&lt;&gt;"",AD60&lt;&gt;"",Z60&lt;AD60-0.05),"TC &lt; TOC — impossible",IF(AND(T60&lt;&gt;"",OR(T60&lt;0.6,T60&gt;2.0)),"BD outside 0.6-2.0 — verify",IF(AND(C60="Texture",AJ60="CHECK SUM"),"Sand+Silt+Clay must total 100",IF(AND(AD60&lt;&gt;"",AD60&gt;15),"TOC &gt;15% — organic soil?",IF(AND(C60="SOC",W60="",X60=""),"No dry mass/area — ESM not possible","OK"))))))))</f>
      </c>
    </row>
    <row r="61" spans="1:38" x14ac:dyDescent="0.25">
      <c r="A61" s="15">
        <v>56</v>
      </c>
      <c r="B61" s="15"/>
      <c r="C61" s="15"/>
      <c r="D61" s="15"/>
      <c r="E61" s="15"/>
      <c r="F61" s="15"/>
      <c r="G61" s="15"/>
      <c r="H61" s="15"/>
      <c r="I61" s="15"/>
      <c r="J61" s="15"/>
      <c r="K61" s="16"/>
      <c r="L61" s="17"/>
      <c r="M61" s="17"/>
      <c r="N61" s="18">
        <f>IF(OR(L61="",M61=""),"",M61-L61)</f>
      </c>
      <c r="O61" s="15"/>
      <c r="P61" s="15"/>
      <c r="Q61" s="15"/>
      <c r="R61" s="16"/>
      <c r="S61" s="15"/>
      <c r="T61" s="19"/>
      <c r="U61" s="20"/>
      <c r="V61" s="20"/>
      <c r="W61" s="21"/>
      <c r="X61" s="21"/>
      <c r="Y61" s="22">
        <f>IF(AND(W61&lt;&gt;"",X61&lt;&gt;"",X61&gt;0),ROUND(W61/X61*100,1),IF(OR(T61="",N61=""),"",ROUND(T61*N61*100*(1-N(V61)/100),1)))</f>
      </c>
      <c r="Z61" s="23"/>
      <c r="AA61" s="23"/>
      <c r="AB61" s="23"/>
      <c r="AC61" s="23"/>
      <c r="AD61" s="24">
        <f>IF(AND(AA61="",AB61=""),"",ROUND(N(AA61)+N(AB61),4))</f>
      </c>
      <c r="AE61" s="23"/>
      <c r="AF61" s="25">
        <f>IF(OR(AD61="",AE61="",AE61=0),"",ROUND(AD61/AE61,2))</f>
      </c>
      <c r="AG61" s="20"/>
      <c r="AH61" s="20"/>
      <c r="AI61" s="20"/>
      <c r="AJ61" s="26">
        <f>IF(OR(AG61="",AH61="",AI61=""),"",IF(ABS(AG61+AH61+AI61-100)&gt;1,"CHECK SUM",IF(AND(AH61+1.5*AI61&lt;15),"Sand",IF(AND(AH61+1.5*AI61&gt;=15,AH61+2*AI61&lt;30),"Loamy sand",IF(OR(AND(AI61&gt;=7,AI61&lt;20,AG61&gt;52,AH61+2*AI61&gt;=30),AND(AI61&lt;7,AH61&lt;50,AG61&gt;43,AH61+2*AI61&gt;=30)),"Sandy loam",IF(AND(AI61&gt;=7,AI61&lt;27,AH61&gt;=28,AH61&lt;50,AG61&lt;=52),"Loam",IF(OR(AND(AH61&gt;=50,AI61&gt;=12,AI61&lt;27),AND(AH61&gt;=50,AH61&lt;80,AI61&lt;12)),"Silt loam",IF(AND(AH61&gt;=80,AI61&lt;12),"Silt",IF(AND(AI61&gt;=20,AI61&lt;35,AH61&lt;28,AG61&gt;45),"Sandy clay loam",IF(AND(AI61&gt;=27,AI61&lt;40,AG61&gt;20,AG61&lt;=45),"Clay loam",IF(AND(AI61&gt;=27,AI61&lt;40,AG61&lt;=20),"Silty clay loam",IF(AND(AI61&gt;=35,AG61&gt;45),"Sandy clay",IF(AND(AI61&gt;=40,AH61&gt;=40),"Silty clay",IF(AND(AI61&gt;=40,AG61&lt;=45,AH61&lt;40),"Clay",""))))))))))))))</f>
      </c>
      <c r="AK61" s="25">
        <f>IF(OR(AD61="",T61="",N61=""),"",ROUND(AD61*T61*N61*(1-N(V61)/100),2))</f>
      </c>
      <c r="AL61" s="26">
        <f>IF(B61="","",IF(NOT(AND(LEFT(B61,3)="OFM",LEN(B61)=13)),"Sample ID must be OFM + 10 digits",IF(AND(C61="SOC",AA61="",AB61=""),"TOC 400 / ROC 600 missing",IF(AND(Z61&lt;&gt;"",AA61&lt;&gt;"",AB61&lt;&gt;"",AC61&lt;&gt;"",ABS(Z61-AA61-AB61-AC61)&gt;0.1),"TC &lt;&gt; TOC400 + ROC600 + TIC900",IF(AND(Z61&lt;&gt;"",AD61&lt;&gt;"",Z61&lt;AD61-0.05),"TC &lt; TOC — impossible",IF(AND(T61&lt;&gt;"",OR(T61&lt;0.6,T61&gt;2.0)),"BD outside 0.6-2.0 — verify",IF(AND(C61="Texture",AJ61="CHECK SUM"),"Sand+Silt+Clay must total 100",IF(AND(AD61&lt;&gt;"",AD61&gt;15),"TOC &gt;15% — organic soil?",IF(AND(C61="SOC",W61="",X61=""),"No dry mass/area — ESM not possible","OK"))))))))</f>
      </c>
    </row>
    <row r="62" spans="1:38" x14ac:dyDescent="0.25">
      <c r="A62" s="15">
        <v>57</v>
      </c>
      <c r="B62" s="15"/>
      <c r="C62" s="15"/>
      <c r="D62" s="15"/>
      <c r="E62" s="15"/>
      <c r="F62" s="15"/>
      <c r="G62" s="15"/>
      <c r="H62" s="15"/>
      <c r="I62" s="15"/>
      <c r="J62" s="15"/>
      <c r="K62" s="16"/>
      <c r="L62" s="17"/>
      <c r="M62" s="17"/>
      <c r="N62" s="18">
        <f>IF(OR(L62="",M62=""),"",M62-L62)</f>
      </c>
      <c r="O62" s="15"/>
      <c r="P62" s="15"/>
      <c r="Q62" s="15"/>
      <c r="R62" s="16"/>
      <c r="S62" s="15"/>
      <c r="T62" s="19"/>
      <c r="U62" s="20"/>
      <c r="V62" s="20"/>
      <c r="W62" s="21"/>
      <c r="X62" s="21"/>
      <c r="Y62" s="22">
        <f>IF(AND(W62&lt;&gt;"",X62&lt;&gt;"",X62&gt;0),ROUND(W62/X62*100,1),IF(OR(T62="",N62=""),"",ROUND(T62*N62*100*(1-N(V62)/100),1)))</f>
      </c>
      <c r="Z62" s="23"/>
      <c r="AA62" s="23"/>
      <c r="AB62" s="23"/>
      <c r="AC62" s="23"/>
      <c r="AD62" s="24">
        <f>IF(AND(AA62="",AB62=""),"",ROUND(N(AA62)+N(AB62),4))</f>
      </c>
      <c r="AE62" s="23"/>
      <c r="AF62" s="25">
        <f>IF(OR(AD62="",AE62="",AE62=0),"",ROUND(AD62/AE62,2))</f>
      </c>
      <c r="AG62" s="20"/>
      <c r="AH62" s="20"/>
      <c r="AI62" s="20"/>
      <c r="AJ62" s="26">
        <f>IF(OR(AG62="",AH62="",AI62=""),"",IF(ABS(AG62+AH62+AI62-100)&gt;1,"CHECK SUM",IF(AND(AH62+1.5*AI62&lt;15),"Sand",IF(AND(AH62+1.5*AI62&gt;=15,AH62+2*AI62&lt;30),"Loamy sand",IF(OR(AND(AI62&gt;=7,AI62&lt;20,AG62&gt;52,AH62+2*AI62&gt;=30),AND(AI62&lt;7,AH62&lt;50,AG62&gt;43,AH62+2*AI62&gt;=30)),"Sandy loam",IF(AND(AI62&gt;=7,AI62&lt;27,AH62&gt;=28,AH62&lt;50,AG62&lt;=52),"Loam",IF(OR(AND(AH62&gt;=50,AI62&gt;=12,AI62&lt;27),AND(AH62&gt;=50,AH62&lt;80,AI62&lt;12)),"Silt loam",IF(AND(AH62&gt;=80,AI62&lt;12),"Silt",IF(AND(AI62&gt;=20,AI62&lt;35,AH62&lt;28,AG62&gt;45),"Sandy clay loam",IF(AND(AI62&gt;=27,AI62&lt;40,AG62&gt;20,AG62&lt;=45),"Clay loam",IF(AND(AI62&gt;=27,AI62&lt;40,AG62&lt;=20),"Silty clay loam",IF(AND(AI62&gt;=35,AG62&gt;45),"Sandy clay",IF(AND(AI62&gt;=40,AH62&gt;=40),"Silty clay",IF(AND(AI62&gt;=40,AG62&lt;=45,AH62&lt;40),"Clay",""))))))))))))))</f>
      </c>
      <c r="AK62" s="25">
        <f>IF(OR(AD62="",T62="",N62=""),"",ROUND(AD62*T62*N62*(1-N(V62)/100),2))</f>
      </c>
      <c r="AL62" s="26">
        <f>IF(B62="","",IF(NOT(AND(LEFT(B62,3)="OFM",LEN(B62)=13)),"Sample ID must be OFM + 10 digits",IF(AND(C62="SOC",AA62="",AB62=""),"TOC 400 / ROC 600 missing",IF(AND(Z62&lt;&gt;"",AA62&lt;&gt;"",AB62&lt;&gt;"",AC62&lt;&gt;"",ABS(Z62-AA62-AB62-AC62)&gt;0.1),"TC &lt;&gt; TOC400 + ROC600 + TIC900",IF(AND(Z62&lt;&gt;"",AD62&lt;&gt;"",Z62&lt;AD62-0.05),"TC &lt; TOC — impossible",IF(AND(T62&lt;&gt;"",OR(T62&lt;0.6,T62&gt;2.0)),"BD outside 0.6-2.0 — verify",IF(AND(C62="Texture",AJ62="CHECK SUM"),"Sand+Silt+Clay must total 100",IF(AND(AD62&lt;&gt;"",AD62&gt;15),"TOC &gt;15% — organic soil?",IF(AND(C62="SOC",W62="",X62=""),"No dry mass/area — ESM not possible","OK"))))))))</f>
      </c>
    </row>
    <row r="63" spans="1:38" x14ac:dyDescent="0.25">
      <c r="A63" s="15">
        <v>58</v>
      </c>
      <c r="B63" s="15"/>
      <c r="C63" s="15"/>
      <c r="D63" s="15"/>
      <c r="E63" s="15"/>
      <c r="F63" s="15"/>
      <c r="G63" s="15"/>
      <c r="H63" s="15"/>
      <c r="I63" s="15"/>
      <c r="J63" s="15"/>
      <c r="K63" s="16"/>
      <c r="L63" s="17"/>
      <c r="M63" s="17"/>
      <c r="N63" s="18">
        <f>IF(OR(L63="",M63=""),"",M63-L63)</f>
      </c>
      <c r="O63" s="15"/>
      <c r="P63" s="15"/>
      <c r="Q63" s="15"/>
      <c r="R63" s="16"/>
      <c r="S63" s="15"/>
      <c r="T63" s="19"/>
      <c r="U63" s="20"/>
      <c r="V63" s="20"/>
      <c r="W63" s="21"/>
      <c r="X63" s="21"/>
      <c r="Y63" s="22">
        <f>IF(AND(W63&lt;&gt;"",X63&lt;&gt;"",X63&gt;0),ROUND(W63/X63*100,1),IF(OR(T63="",N63=""),"",ROUND(T63*N63*100*(1-N(V63)/100),1)))</f>
      </c>
      <c r="Z63" s="23"/>
      <c r="AA63" s="23"/>
      <c r="AB63" s="23"/>
      <c r="AC63" s="23"/>
      <c r="AD63" s="24">
        <f>IF(AND(AA63="",AB63=""),"",ROUND(N(AA63)+N(AB63),4))</f>
      </c>
      <c r="AE63" s="23"/>
      <c r="AF63" s="25">
        <f>IF(OR(AD63="",AE63="",AE63=0),"",ROUND(AD63/AE63,2))</f>
      </c>
      <c r="AG63" s="20"/>
      <c r="AH63" s="20"/>
      <c r="AI63" s="20"/>
      <c r="AJ63" s="26">
        <f>IF(OR(AG63="",AH63="",AI63=""),"",IF(ABS(AG63+AH63+AI63-100)&gt;1,"CHECK SUM",IF(AND(AH63+1.5*AI63&lt;15),"Sand",IF(AND(AH63+1.5*AI63&gt;=15,AH63+2*AI63&lt;30),"Loamy sand",IF(OR(AND(AI63&gt;=7,AI63&lt;20,AG63&gt;52,AH63+2*AI63&gt;=30),AND(AI63&lt;7,AH63&lt;50,AG63&gt;43,AH63+2*AI63&gt;=30)),"Sandy loam",IF(AND(AI63&gt;=7,AI63&lt;27,AH63&gt;=28,AH63&lt;50,AG63&lt;=52),"Loam",IF(OR(AND(AH63&gt;=50,AI63&gt;=12,AI63&lt;27),AND(AH63&gt;=50,AH63&lt;80,AI63&lt;12)),"Silt loam",IF(AND(AH63&gt;=80,AI63&lt;12),"Silt",IF(AND(AI63&gt;=20,AI63&lt;35,AH63&lt;28,AG63&gt;45),"Sandy clay loam",IF(AND(AI63&gt;=27,AI63&lt;40,AG63&gt;20,AG63&lt;=45),"Clay loam",IF(AND(AI63&gt;=27,AI63&lt;40,AG63&lt;=20),"Silty clay loam",IF(AND(AI63&gt;=35,AG63&gt;45),"Sandy clay",IF(AND(AI63&gt;=40,AH63&gt;=40),"Silty clay",IF(AND(AI63&gt;=40,AG63&lt;=45,AH63&lt;40),"Clay",""))))))))))))))</f>
      </c>
      <c r="AK63" s="25">
        <f>IF(OR(AD63="",T63="",N63=""),"",ROUND(AD63*T63*N63*(1-N(V63)/100),2))</f>
      </c>
      <c r="AL63" s="26">
        <f>IF(B63="","",IF(NOT(AND(LEFT(B63,3)="OFM",LEN(B63)=13)),"Sample ID must be OFM + 10 digits",IF(AND(C63="SOC",AA63="",AB63=""),"TOC 400 / ROC 600 missing",IF(AND(Z63&lt;&gt;"",AA63&lt;&gt;"",AB63&lt;&gt;"",AC63&lt;&gt;"",ABS(Z63-AA63-AB63-AC63)&gt;0.1),"TC &lt;&gt; TOC400 + ROC600 + TIC900",IF(AND(Z63&lt;&gt;"",AD63&lt;&gt;"",Z63&lt;AD63-0.05),"TC &lt; TOC — impossible",IF(AND(T63&lt;&gt;"",OR(T63&lt;0.6,T63&gt;2.0)),"BD outside 0.6-2.0 — verify",IF(AND(C63="Texture",AJ63="CHECK SUM"),"Sand+Silt+Clay must total 100",IF(AND(AD63&lt;&gt;"",AD63&gt;15),"TOC &gt;15% — organic soil?",IF(AND(C63="SOC",W63="",X63=""),"No dry mass/area — ESM not possible","OK"))))))))</f>
      </c>
    </row>
    <row r="64" spans="1:38" x14ac:dyDescent="0.25">
      <c r="A64" s="15">
        <v>59</v>
      </c>
      <c r="B64" s="15"/>
      <c r="C64" s="15"/>
      <c r="D64" s="15"/>
      <c r="E64" s="15"/>
      <c r="F64" s="15"/>
      <c r="G64" s="15"/>
      <c r="H64" s="15"/>
      <c r="I64" s="15"/>
      <c r="J64" s="15"/>
      <c r="K64" s="16"/>
      <c r="L64" s="17"/>
      <c r="M64" s="17"/>
      <c r="N64" s="18">
        <f>IF(OR(L64="",M64=""),"",M64-L64)</f>
      </c>
      <c r="O64" s="15"/>
      <c r="P64" s="15"/>
      <c r="Q64" s="15"/>
      <c r="R64" s="16"/>
      <c r="S64" s="15"/>
      <c r="T64" s="19"/>
      <c r="U64" s="20"/>
      <c r="V64" s="20"/>
      <c r="W64" s="21"/>
      <c r="X64" s="21"/>
      <c r="Y64" s="22">
        <f>IF(AND(W64&lt;&gt;"",X64&lt;&gt;"",X64&gt;0),ROUND(W64/X64*100,1),IF(OR(T64="",N64=""),"",ROUND(T64*N64*100*(1-N(V64)/100),1)))</f>
      </c>
      <c r="Z64" s="23"/>
      <c r="AA64" s="23"/>
      <c r="AB64" s="23"/>
      <c r="AC64" s="23"/>
      <c r="AD64" s="24">
        <f>IF(AND(AA64="",AB64=""),"",ROUND(N(AA64)+N(AB64),4))</f>
      </c>
      <c r="AE64" s="23"/>
      <c r="AF64" s="25">
        <f>IF(OR(AD64="",AE64="",AE64=0),"",ROUND(AD64/AE64,2))</f>
      </c>
      <c r="AG64" s="20"/>
      <c r="AH64" s="20"/>
      <c r="AI64" s="20"/>
      <c r="AJ64" s="26">
        <f>IF(OR(AG64="",AH64="",AI64=""),"",IF(ABS(AG64+AH64+AI64-100)&gt;1,"CHECK SUM",IF(AND(AH64+1.5*AI64&lt;15),"Sand",IF(AND(AH64+1.5*AI64&gt;=15,AH64+2*AI64&lt;30),"Loamy sand",IF(OR(AND(AI64&gt;=7,AI64&lt;20,AG64&gt;52,AH64+2*AI64&gt;=30),AND(AI64&lt;7,AH64&lt;50,AG64&gt;43,AH64+2*AI64&gt;=30)),"Sandy loam",IF(AND(AI64&gt;=7,AI64&lt;27,AH64&gt;=28,AH64&lt;50,AG64&lt;=52),"Loam",IF(OR(AND(AH64&gt;=50,AI64&gt;=12,AI64&lt;27),AND(AH64&gt;=50,AH64&lt;80,AI64&lt;12)),"Silt loam",IF(AND(AH64&gt;=80,AI64&lt;12),"Silt",IF(AND(AI64&gt;=20,AI64&lt;35,AH64&lt;28,AG64&gt;45),"Sandy clay loam",IF(AND(AI64&gt;=27,AI64&lt;40,AG64&gt;20,AG64&lt;=45),"Clay loam",IF(AND(AI64&gt;=27,AI64&lt;40,AG64&lt;=20),"Silty clay loam",IF(AND(AI64&gt;=35,AG64&gt;45),"Sandy clay",IF(AND(AI64&gt;=40,AH64&gt;=40),"Silty clay",IF(AND(AI64&gt;=40,AG64&lt;=45,AH64&lt;40),"Clay",""))))))))))))))</f>
      </c>
      <c r="AK64" s="25">
        <f>IF(OR(AD64="",T64="",N64=""),"",ROUND(AD64*T64*N64*(1-N(V64)/100),2))</f>
      </c>
      <c r="AL64" s="26">
        <f>IF(B64="","",IF(NOT(AND(LEFT(B64,3)="OFM",LEN(B64)=13)),"Sample ID must be OFM + 10 digits",IF(AND(C64="SOC",AA64="",AB64=""),"TOC 400 / ROC 600 missing",IF(AND(Z64&lt;&gt;"",AA64&lt;&gt;"",AB64&lt;&gt;"",AC64&lt;&gt;"",ABS(Z64-AA64-AB64-AC64)&gt;0.1),"TC &lt;&gt; TOC400 + ROC600 + TIC900",IF(AND(Z64&lt;&gt;"",AD64&lt;&gt;"",Z64&lt;AD64-0.05),"TC &lt; TOC — impossible",IF(AND(T64&lt;&gt;"",OR(T64&lt;0.6,T64&gt;2.0)),"BD outside 0.6-2.0 — verify",IF(AND(C64="Texture",AJ64="CHECK SUM"),"Sand+Silt+Clay must total 100",IF(AND(AD64&lt;&gt;"",AD64&gt;15),"TOC &gt;15% — organic soil?",IF(AND(C64="SOC",W64="",X64=""),"No dry mass/area — ESM not possible","OK"))))))))</f>
      </c>
    </row>
    <row r="65" spans="1:38" x14ac:dyDescent="0.25">
      <c r="A65" s="15">
        <v>60</v>
      </c>
      <c r="B65" s="15"/>
      <c r="C65" s="15"/>
      <c r="D65" s="15"/>
      <c r="E65" s="15"/>
      <c r="F65" s="15"/>
      <c r="G65" s="15"/>
      <c r="H65" s="15"/>
      <c r="I65" s="15"/>
      <c r="J65" s="15"/>
      <c r="K65" s="16"/>
      <c r="L65" s="17"/>
      <c r="M65" s="17"/>
      <c r="N65" s="18">
        <f>IF(OR(L65="",M65=""),"",M65-L65)</f>
      </c>
      <c r="O65" s="15"/>
      <c r="P65" s="15"/>
      <c r="Q65" s="15"/>
      <c r="R65" s="16"/>
      <c r="S65" s="15"/>
      <c r="T65" s="19"/>
      <c r="U65" s="20"/>
      <c r="V65" s="20"/>
      <c r="W65" s="21"/>
      <c r="X65" s="21"/>
      <c r="Y65" s="22">
        <f>IF(AND(W65&lt;&gt;"",X65&lt;&gt;"",X65&gt;0),ROUND(W65/X65*100,1),IF(OR(T65="",N65=""),"",ROUND(T65*N65*100*(1-N(V65)/100),1)))</f>
      </c>
      <c r="Z65" s="23"/>
      <c r="AA65" s="23"/>
      <c r="AB65" s="23"/>
      <c r="AC65" s="23"/>
      <c r="AD65" s="24">
        <f>IF(AND(AA65="",AB65=""),"",ROUND(N(AA65)+N(AB65),4))</f>
      </c>
      <c r="AE65" s="23"/>
      <c r="AF65" s="25">
        <f>IF(OR(AD65="",AE65="",AE65=0),"",ROUND(AD65/AE65,2))</f>
      </c>
      <c r="AG65" s="20"/>
      <c r="AH65" s="20"/>
      <c r="AI65" s="20"/>
      <c r="AJ65" s="26">
        <f>IF(OR(AG65="",AH65="",AI65=""),"",IF(ABS(AG65+AH65+AI65-100)&gt;1,"CHECK SUM",IF(AND(AH65+1.5*AI65&lt;15),"Sand",IF(AND(AH65+1.5*AI65&gt;=15,AH65+2*AI65&lt;30),"Loamy sand",IF(OR(AND(AI65&gt;=7,AI65&lt;20,AG65&gt;52,AH65+2*AI65&gt;=30),AND(AI65&lt;7,AH65&lt;50,AG65&gt;43,AH65+2*AI65&gt;=30)),"Sandy loam",IF(AND(AI65&gt;=7,AI65&lt;27,AH65&gt;=28,AH65&lt;50,AG65&lt;=52),"Loam",IF(OR(AND(AH65&gt;=50,AI65&gt;=12,AI65&lt;27),AND(AH65&gt;=50,AH65&lt;80,AI65&lt;12)),"Silt loam",IF(AND(AH65&gt;=80,AI65&lt;12),"Silt",IF(AND(AI65&gt;=20,AI65&lt;35,AH65&lt;28,AG65&gt;45),"Sandy clay loam",IF(AND(AI65&gt;=27,AI65&lt;40,AG65&gt;20,AG65&lt;=45),"Clay loam",IF(AND(AI65&gt;=27,AI65&lt;40,AG65&lt;=20),"Silty clay loam",IF(AND(AI65&gt;=35,AG65&gt;45),"Sandy clay",IF(AND(AI65&gt;=40,AH65&gt;=40),"Silty clay",IF(AND(AI65&gt;=40,AG65&lt;=45,AH65&lt;40),"Clay",""))))))))))))))</f>
      </c>
      <c r="AK65" s="25">
        <f>IF(OR(AD65="",T65="",N65=""),"",ROUND(AD65*T65*N65*(1-N(V65)/100),2))</f>
      </c>
      <c r="AL65" s="26">
        <f>IF(B65="","",IF(NOT(AND(LEFT(B65,3)="OFM",LEN(B65)=13)),"Sample ID must be OFM + 10 digits",IF(AND(C65="SOC",AA65="",AB65=""),"TOC 400 / ROC 600 missing",IF(AND(Z65&lt;&gt;"",AA65&lt;&gt;"",AB65&lt;&gt;"",AC65&lt;&gt;"",ABS(Z65-AA65-AB65-AC65)&gt;0.1),"TC &lt;&gt; TOC400 + ROC600 + TIC900",IF(AND(Z65&lt;&gt;"",AD65&lt;&gt;"",Z65&lt;AD65-0.05),"TC &lt; TOC — impossible",IF(AND(T65&lt;&gt;"",OR(T65&lt;0.6,T65&gt;2.0)),"BD outside 0.6-2.0 — verify",IF(AND(C65="Texture",AJ65="CHECK SUM"),"Sand+Silt+Clay must total 100",IF(AND(AD65&lt;&gt;"",AD65&gt;15),"TOC &gt;15% — organic soil?",IF(AND(C65="SOC",W65="",X65=""),"No dry mass/area — ESM not possible","OK"))))))))</f>
      </c>
    </row>
    <row r="66" spans="1:38" x14ac:dyDescent="0.25">
      <c r="A66" s="15">
        <v>61</v>
      </c>
      <c r="B66" s="15"/>
      <c r="C66" s="15"/>
      <c r="D66" s="15"/>
      <c r="E66" s="15"/>
      <c r="F66" s="15"/>
      <c r="G66" s="15"/>
      <c r="H66" s="15"/>
      <c r="I66" s="15"/>
      <c r="J66" s="15"/>
      <c r="K66" s="16"/>
      <c r="L66" s="17"/>
      <c r="M66" s="17"/>
      <c r="N66" s="18">
        <f>IF(OR(L66="",M66=""),"",M66-L66)</f>
      </c>
      <c r="O66" s="15"/>
      <c r="P66" s="15"/>
      <c r="Q66" s="15"/>
      <c r="R66" s="16"/>
      <c r="S66" s="15"/>
      <c r="T66" s="19"/>
      <c r="U66" s="20"/>
      <c r="V66" s="20"/>
      <c r="W66" s="21"/>
      <c r="X66" s="21"/>
      <c r="Y66" s="22">
        <f>IF(AND(W66&lt;&gt;"",X66&lt;&gt;"",X66&gt;0),ROUND(W66/X66*100,1),IF(OR(T66="",N66=""),"",ROUND(T66*N66*100*(1-N(V66)/100),1)))</f>
      </c>
      <c r="Z66" s="23"/>
      <c r="AA66" s="23"/>
      <c r="AB66" s="23"/>
      <c r="AC66" s="23"/>
      <c r="AD66" s="24">
        <f>IF(AND(AA66="",AB66=""),"",ROUND(N(AA66)+N(AB66),4))</f>
      </c>
      <c r="AE66" s="23"/>
      <c r="AF66" s="25">
        <f>IF(OR(AD66="",AE66="",AE66=0),"",ROUND(AD66/AE66,2))</f>
      </c>
      <c r="AG66" s="20"/>
      <c r="AH66" s="20"/>
      <c r="AI66" s="20"/>
      <c r="AJ66" s="26">
        <f>IF(OR(AG66="",AH66="",AI66=""),"",IF(ABS(AG66+AH66+AI66-100)&gt;1,"CHECK SUM",IF(AND(AH66+1.5*AI66&lt;15),"Sand",IF(AND(AH66+1.5*AI66&gt;=15,AH66+2*AI66&lt;30),"Loamy sand",IF(OR(AND(AI66&gt;=7,AI66&lt;20,AG66&gt;52,AH66+2*AI66&gt;=30),AND(AI66&lt;7,AH66&lt;50,AG66&gt;43,AH66+2*AI66&gt;=30)),"Sandy loam",IF(AND(AI66&gt;=7,AI66&lt;27,AH66&gt;=28,AH66&lt;50,AG66&lt;=52),"Loam",IF(OR(AND(AH66&gt;=50,AI66&gt;=12,AI66&lt;27),AND(AH66&gt;=50,AH66&lt;80,AI66&lt;12)),"Silt loam",IF(AND(AH66&gt;=80,AI66&lt;12),"Silt",IF(AND(AI66&gt;=20,AI66&lt;35,AH66&lt;28,AG66&gt;45),"Sandy clay loam",IF(AND(AI66&gt;=27,AI66&lt;40,AG66&gt;20,AG66&lt;=45),"Clay loam",IF(AND(AI66&gt;=27,AI66&lt;40,AG66&lt;=20),"Silty clay loam",IF(AND(AI66&gt;=35,AG66&gt;45),"Sandy clay",IF(AND(AI66&gt;=40,AH66&gt;=40),"Silty clay",IF(AND(AI66&gt;=40,AG66&lt;=45,AH66&lt;40),"Clay",""))))))))))))))</f>
      </c>
      <c r="AK66" s="25">
        <f>IF(OR(AD66="",T66="",N66=""),"",ROUND(AD66*T66*N66*(1-N(V66)/100),2))</f>
      </c>
      <c r="AL66" s="26">
        <f>IF(B66="","",IF(NOT(AND(LEFT(B66,3)="OFM",LEN(B66)=13)),"Sample ID must be OFM + 10 digits",IF(AND(C66="SOC",AA66="",AB66=""),"TOC 400 / ROC 600 missing",IF(AND(Z66&lt;&gt;"",AA66&lt;&gt;"",AB66&lt;&gt;"",AC66&lt;&gt;"",ABS(Z66-AA66-AB66-AC66)&gt;0.1),"TC &lt;&gt; TOC400 + ROC600 + TIC900",IF(AND(Z66&lt;&gt;"",AD66&lt;&gt;"",Z66&lt;AD66-0.05),"TC &lt; TOC — impossible",IF(AND(T66&lt;&gt;"",OR(T66&lt;0.6,T66&gt;2.0)),"BD outside 0.6-2.0 — verify",IF(AND(C66="Texture",AJ66="CHECK SUM"),"Sand+Silt+Clay must total 100",IF(AND(AD66&lt;&gt;"",AD66&gt;15),"TOC &gt;15% — organic soil?",IF(AND(C66="SOC",W66="",X66=""),"No dry mass/area — ESM not possible","OK"))))))))</f>
      </c>
    </row>
    <row r="67" spans="1:38" x14ac:dyDescent="0.25">
      <c r="A67" s="15">
        <v>62</v>
      </c>
      <c r="B67" s="15"/>
      <c r="C67" s="15"/>
      <c r="D67" s="15"/>
      <c r="E67" s="15"/>
      <c r="F67" s="15"/>
      <c r="G67" s="15"/>
      <c r="H67" s="15"/>
      <c r="I67" s="15"/>
      <c r="J67" s="15"/>
      <c r="K67" s="16"/>
      <c r="L67" s="17"/>
      <c r="M67" s="17"/>
      <c r="N67" s="18">
        <f>IF(OR(L67="",M67=""),"",M67-L67)</f>
      </c>
      <c r="O67" s="15"/>
      <c r="P67" s="15"/>
      <c r="Q67" s="15"/>
      <c r="R67" s="16"/>
      <c r="S67" s="15"/>
      <c r="T67" s="19"/>
      <c r="U67" s="20"/>
      <c r="V67" s="20"/>
      <c r="W67" s="21"/>
      <c r="X67" s="21"/>
      <c r="Y67" s="22">
        <f>IF(AND(W67&lt;&gt;"",X67&lt;&gt;"",X67&gt;0),ROUND(W67/X67*100,1),IF(OR(T67="",N67=""),"",ROUND(T67*N67*100*(1-N(V67)/100),1)))</f>
      </c>
      <c r="Z67" s="23"/>
      <c r="AA67" s="23"/>
      <c r="AB67" s="23"/>
      <c r="AC67" s="23"/>
      <c r="AD67" s="24">
        <f>IF(AND(AA67="",AB67=""),"",ROUND(N(AA67)+N(AB67),4))</f>
      </c>
      <c r="AE67" s="23"/>
      <c r="AF67" s="25">
        <f>IF(OR(AD67="",AE67="",AE67=0),"",ROUND(AD67/AE67,2))</f>
      </c>
      <c r="AG67" s="20"/>
      <c r="AH67" s="20"/>
      <c r="AI67" s="20"/>
      <c r="AJ67" s="26">
        <f>IF(OR(AG67="",AH67="",AI67=""),"",IF(ABS(AG67+AH67+AI67-100)&gt;1,"CHECK SUM",IF(AND(AH67+1.5*AI67&lt;15),"Sand",IF(AND(AH67+1.5*AI67&gt;=15,AH67+2*AI67&lt;30),"Loamy sand",IF(OR(AND(AI67&gt;=7,AI67&lt;20,AG67&gt;52,AH67+2*AI67&gt;=30),AND(AI67&lt;7,AH67&lt;50,AG67&gt;43,AH67+2*AI67&gt;=30)),"Sandy loam",IF(AND(AI67&gt;=7,AI67&lt;27,AH67&gt;=28,AH67&lt;50,AG67&lt;=52),"Loam",IF(OR(AND(AH67&gt;=50,AI67&gt;=12,AI67&lt;27),AND(AH67&gt;=50,AH67&lt;80,AI67&lt;12)),"Silt loam",IF(AND(AH67&gt;=80,AI67&lt;12),"Silt",IF(AND(AI67&gt;=20,AI67&lt;35,AH67&lt;28,AG67&gt;45),"Sandy clay loam",IF(AND(AI67&gt;=27,AI67&lt;40,AG67&gt;20,AG67&lt;=45),"Clay loam",IF(AND(AI67&gt;=27,AI67&lt;40,AG67&lt;=20),"Silty clay loam",IF(AND(AI67&gt;=35,AG67&gt;45),"Sandy clay",IF(AND(AI67&gt;=40,AH67&gt;=40),"Silty clay",IF(AND(AI67&gt;=40,AG67&lt;=45,AH67&lt;40),"Clay",""))))))))))))))</f>
      </c>
      <c r="AK67" s="25">
        <f>IF(OR(AD67="",T67="",N67=""),"",ROUND(AD67*T67*N67*(1-N(V67)/100),2))</f>
      </c>
      <c r="AL67" s="26">
        <f>IF(B67="","",IF(NOT(AND(LEFT(B67,3)="OFM",LEN(B67)=13)),"Sample ID must be OFM + 10 digits",IF(AND(C67="SOC",AA67="",AB67=""),"TOC 400 / ROC 600 missing",IF(AND(Z67&lt;&gt;"",AA67&lt;&gt;"",AB67&lt;&gt;"",AC67&lt;&gt;"",ABS(Z67-AA67-AB67-AC67)&gt;0.1),"TC &lt;&gt; TOC400 + ROC600 + TIC900",IF(AND(Z67&lt;&gt;"",AD67&lt;&gt;"",Z67&lt;AD67-0.05),"TC &lt; TOC — impossible",IF(AND(T67&lt;&gt;"",OR(T67&lt;0.6,T67&gt;2.0)),"BD outside 0.6-2.0 — verify",IF(AND(C67="Texture",AJ67="CHECK SUM"),"Sand+Silt+Clay must total 100",IF(AND(AD67&lt;&gt;"",AD67&gt;15),"TOC &gt;15% — organic soil?",IF(AND(C67="SOC",W67="",X67=""),"No dry mass/area — ESM not possible","OK"))))))))</f>
      </c>
    </row>
    <row r="68" spans="1:38" x14ac:dyDescent="0.25">
      <c r="A68" s="15">
        <v>63</v>
      </c>
      <c r="B68" s="15"/>
      <c r="C68" s="15"/>
      <c r="D68" s="15"/>
      <c r="E68" s="15"/>
      <c r="F68" s="15"/>
      <c r="G68" s="15"/>
      <c r="H68" s="15"/>
      <c r="I68" s="15"/>
      <c r="J68" s="15"/>
      <c r="K68" s="16"/>
      <c r="L68" s="17"/>
      <c r="M68" s="17"/>
      <c r="N68" s="18">
        <f>IF(OR(L68="",M68=""),"",M68-L68)</f>
      </c>
      <c r="O68" s="15"/>
      <c r="P68" s="15"/>
      <c r="Q68" s="15"/>
      <c r="R68" s="16"/>
      <c r="S68" s="15"/>
      <c r="T68" s="19"/>
      <c r="U68" s="20"/>
      <c r="V68" s="20"/>
      <c r="W68" s="21"/>
      <c r="X68" s="21"/>
      <c r="Y68" s="22">
        <f>IF(AND(W68&lt;&gt;"",X68&lt;&gt;"",X68&gt;0),ROUND(W68/X68*100,1),IF(OR(T68="",N68=""),"",ROUND(T68*N68*100*(1-N(V68)/100),1)))</f>
      </c>
      <c r="Z68" s="23"/>
      <c r="AA68" s="23"/>
      <c r="AB68" s="23"/>
      <c r="AC68" s="23"/>
      <c r="AD68" s="24">
        <f>IF(AND(AA68="",AB68=""),"",ROUND(N(AA68)+N(AB68),4))</f>
      </c>
      <c r="AE68" s="23"/>
      <c r="AF68" s="25">
        <f>IF(OR(AD68="",AE68="",AE68=0),"",ROUND(AD68/AE68,2))</f>
      </c>
      <c r="AG68" s="20"/>
      <c r="AH68" s="20"/>
      <c r="AI68" s="20"/>
      <c r="AJ68" s="26">
        <f>IF(OR(AG68="",AH68="",AI68=""),"",IF(ABS(AG68+AH68+AI68-100)&gt;1,"CHECK SUM",IF(AND(AH68+1.5*AI68&lt;15),"Sand",IF(AND(AH68+1.5*AI68&gt;=15,AH68+2*AI68&lt;30),"Loamy sand",IF(OR(AND(AI68&gt;=7,AI68&lt;20,AG68&gt;52,AH68+2*AI68&gt;=30),AND(AI68&lt;7,AH68&lt;50,AG68&gt;43,AH68+2*AI68&gt;=30)),"Sandy loam",IF(AND(AI68&gt;=7,AI68&lt;27,AH68&gt;=28,AH68&lt;50,AG68&lt;=52),"Loam",IF(OR(AND(AH68&gt;=50,AI68&gt;=12,AI68&lt;27),AND(AH68&gt;=50,AH68&lt;80,AI68&lt;12)),"Silt loam",IF(AND(AH68&gt;=80,AI68&lt;12),"Silt",IF(AND(AI68&gt;=20,AI68&lt;35,AH68&lt;28,AG68&gt;45),"Sandy clay loam",IF(AND(AI68&gt;=27,AI68&lt;40,AG68&gt;20,AG68&lt;=45),"Clay loam",IF(AND(AI68&gt;=27,AI68&lt;40,AG68&lt;=20),"Silty clay loam",IF(AND(AI68&gt;=35,AG68&gt;45),"Sandy clay",IF(AND(AI68&gt;=40,AH68&gt;=40),"Silty clay",IF(AND(AI68&gt;=40,AG68&lt;=45,AH68&lt;40),"Clay",""))))))))))))))</f>
      </c>
      <c r="AK68" s="25">
        <f>IF(OR(AD68="",T68="",N68=""),"",ROUND(AD68*T68*N68*(1-N(V68)/100),2))</f>
      </c>
      <c r="AL68" s="26">
        <f>IF(B68="","",IF(NOT(AND(LEFT(B68,3)="OFM",LEN(B68)=13)),"Sample ID must be OFM + 10 digits",IF(AND(C68="SOC",AA68="",AB68=""),"TOC 400 / ROC 600 missing",IF(AND(Z68&lt;&gt;"",AA68&lt;&gt;"",AB68&lt;&gt;"",AC68&lt;&gt;"",ABS(Z68-AA68-AB68-AC68)&gt;0.1),"TC &lt;&gt; TOC400 + ROC600 + TIC900",IF(AND(Z68&lt;&gt;"",AD68&lt;&gt;"",Z68&lt;AD68-0.05),"TC &lt; TOC — impossible",IF(AND(T68&lt;&gt;"",OR(T68&lt;0.6,T68&gt;2.0)),"BD outside 0.6-2.0 — verify",IF(AND(C68="Texture",AJ68="CHECK SUM"),"Sand+Silt+Clay must total 100",IF(AND(AD68&lt;&gt;"",AD68&gt;15),"TOC &gt;15% — organic soil?",IF(AND(C68="SOC",W68="",X68=""),"No dry mass/area — ESM not possible","OK"))))))))</f>
      </c>
    </row>
    <row r="69" spans="1:38" x14ac:dyDescent="0.25">
      <c r="A69" s="15">
        <v>64</v>
      </c>
      <c r="B69" s="15"/>
      <c r="C69" s="15"/>
      <c r="D69" s="15"/>
      <c r="E69" s="15"/>
      <c r="F69" s="15"/>
      <c r="G69" s="15"/>
      <c r="H69" s="15"/>
      <c r="I69" s="15"/>
      <c r="J69" s="15"/>
      <c r="K69" s="16"/>
      <c r="L69" s="17"/>
      <c r="M69" s="17"/>
      <c r="N69" s="18">
        <f>IF(OR(L69="",M69=""),"",M69-L69)</f>
      </c>
      <c r="O69" s="15"/>
      <c r="P69" s="15"/>
      <c r="Q69" s="15"/>
      <c r="R69" s="16"/>
      <c r="S69" s="15"/>
      <c r="T69" s="19"/>
      <c r="U69" s="20"/>
      <c r="V69" s="20"/>
      <c r="W69" s="21"/>
      <c r="X69" s="21"/>
      <c r="Y69" s="22">
        <f>IF(AND(W69&lt;&gt;"",X69&lt;&gt;"",X69&gt;0),ROUND(W69/X69*100,1),IF(OR(T69="",N69=""),"",ROUND(T69*N69*100*(1-N(V69)/100),1)))</f>
      </c>
      <c r="Z69" s="23"/>
      <c r="AA69" s="23"/>
      <c r="AB69" s="23"/>
      <c r="AC69" s="23"/>
      <c r="AD69" s="24">
        <f>IF(AND(AA69="",AB69=""),"",ROUND(N(AA69)+N(AB69),4))</f>
      </c>
      <c r="AE69" s="23"/>
      <c r="AF69" s="25">
        <f>IF(OR(AD69="",AE69="",AE69=0),"",ROUND(AD69/AE69,2))</f>
      </c>
      <c r="AG69" s="20"/>
      <c r="AH69" s="20"/>
      <c r="AI69" s="20"/>
      <c r="AJ69" s="26">
        <f>IF(OR(AG69="",AH69="",AI69=""),"",IF(ABS(AG69+AH69+AI69-100)&gt;1,"CHECK SUM",IF(AND(AH69+1.5*AI69&lt;15),"Sand",IF(AND(AH69+1.5*AI69&gt;=15,AH69+2*AI69&lt;30),"Loamy sand",IF(OR(AND(AI69&gt;=7,AI69&lt;20,AG69&gt;52,AH69+2*AI69&gt;=30),AND(AI69&lt;7,AH69&lt;50,AG69&gt;43,AH69+2*AI69&gt;=30)),"Sandy loam",IF(AND(AI69&gt;=7,AI69&lt;27,AH69&gt;=28,AH69&lt;50,AG69&lt;=52),"Loam",IF(OR(AND(AH69&gt;=50,AI69&gt;=12,AI69&lt;27),AND(AH69&gt;=50,AH69&lt;80,AI69&lt;12)),"Silt loam",IF(AND(AH69&gt;=80,AI69&lt;12),"Silt",IF(AND(AI69&gt;=20,AI69&lt;35,AH69&lt;28,AG69&gt;45),"Sandy clay loam",IF(AND(AI69&gt;=27,AI69&lt;40,AG69&gt;20,AG69&lt;=45),"Clay loam",IF(AND(AI69&gt;=27,AI69&lt;40,AG69&lt;=20),"Silty clay loam",IF(AND(AI69&gt;=35,AG69&gt;45),"Sandy clay",IF(AND(AI69&gt;=40,AH69&gt;=40),"Silty clay",IF(AND(AI69&gt;=40,AG69&lt;=45,AH69&lt;40),"Clay",""))))))))))))))</f>
      </c>
      <c r="AK69" s="25">
        <f>IF(OR(AD69="",T69="",N69=""),"",ROUND(AD69*T69*N69*(1-N(V69)/100),2))</f>
      </c>
      <c r="AL69" s="26">
        <f>IF(B69="","",IF(NOT(AND(LEFT(B69,3)="OFM",LEN(B69)=13)),"Sample ID must be OFM + 10 digits",IF(AND(C69="SOC",AA69="",AB69=""),"TOC 400 / ROC 600 missing",IF(AND(Z69&lt;&gt;"",AA69&lt;&gt;"",AB69&lt;&gt;"",AC69&lt;&gt;"",ABS(Z69-AA69-AB69-AC69)&gt;0.1),"TC &lt;&gt; TOC400 + ROC600 + TIC900",IF(AND(Z69&lt;&gt;"",AD69&lt;&gt;"",Z69&lt;AD69-0.05),"TC &lt; TOC — impossible",IF(AND(T69&lt;&gt;"",OR(T69&lt;0.6,T69&gt;2.0)),"BD outside 0.6-2.0 — verify",IF(AND(C69="Texture",AJ69="CHECK SUM"),"Sand+Silt+Clay must total 100",IF(AND(AD69&lt;&gt;"",AD69&gt;15),"TOC &gt;15% — organic soil?",IF(AND(C69="SOC",W69="",X69=""),"No dry mass/area — ESM not possible","OK"))))))))</f>
      </c>
    </row>
    <row r="70" spans="1:38" x14ac:dyDescent="0.25">
      <c r="A70" s="15">
        <v>65</v>
      </c>
      <c r="B70" s="15"/>
      <c r="C70" s="15"/>
      <c r="D70" s="15"/>
      <c r="E70" s="15"/>
      <c r="F70" s="15"/>
      <c r="G70" s="15"/>
      <c r="H70" s="15"/>
      <c r="I70" s="15"/>
      <c r="J70" s="15"/>
      <c r="K70" s="16"/>
      <c r="L70" s="17"/>
      <c r="M70" s="17"/>
      <c r="N70" s="18">
        <f>IF(OR(L70="",M70=""),"",M70-L70)</f>
      </c>
      <c r="O70" s="15"/>
      <c r="P70" s="15"/>
      <c r="Q70" s="15"/>
      <c r="R70" s="16"/>
      <c r="S70" s="15"/>
      <c r="T70" s="19"/>
      <c r="U70" s="20"/>
      <c r="V70" s="20"/>
      <c r="W70" s="21"/>
      <c r="X70" s="21"/>
      <c r="Y70" s="22">
        <f>IF(AND(W70&lt;&gt;"",X70&lt;&gt;"",X70&gt;0),ROUND(W70/X70*100,1),IF(OR(T70="",N70=""),"",ROUND(T70*N70*100*(1-N(V70)/100),1)))</f>
      </c>
      <c r="Z70" s="23"/>
      <c r="AA70" s="23"/>
      <c r="AB70" s="23"/>
      <c r="AC70" s="23"/>
      <c r="AD70" s="24">
        <f>IF(AND(AA70="",AB70=""),"",ROUND(N(AA70)+N(AB70),4))</f>
      </c>
      <c r="AE70" s="23"/>
      <c r="AF70" s="25">
        <f>IF(OR(AD70="",AE70="",AE70=0),"",ROUND(AD70/AE70,2))</f>
      </c>
      <c r="AG70" s="20"/>
      <c r="AH70" s="20"/>
      <c r="AI70" s="20"/>
      <c r="AJ70" s="26">
        <f>IF(OR(AG70="",AH70="",AI70=""),"",IF(ABS(AG70+AH70+AI70-100)&gt;1,"CHECK SUM",IF(AND(AH70+1.5*AI70&lt;15),"Sand",IF(AND(AH70+1.5*AI70&gt;=15,AH70+2*AI70&lt;30),"Loamy sand",IF(OR(AND(AI70&gt;=7,AI70&lt;20,AG70&gt;52,AH70+2*AI70&gt;=30),AND(AI70&lt;7,AH70&lt;50,AG70&gt;43,AH70+2*AI70&gt;=30)),"Sandy loam",IF(AND(AI70&gt;=7,AI70&lt;27,AH70&gt;=28,AH70&lt;50,AG70&lt;=52),"Loam",IF(OR(AND(AH70&gt;=50,AI70&gt;=12,AI70&lt;27),AND(AH70&gt;=50,AH70&lt;80,AI70&lt;12)),"Silt loam",IF(AND(AH70&gt;=80,AI70&lt;12),"Silt",IF(AND(AI70&gt;=20,AI70&lt;35,AH70&lt;28,AG70&gt;45),"Sandy clay loam",IF(AND(AI70&gt;=27,AI70&lt;40,AG70&gt;20,AG70&lt;=45),"Clay loam",IF(AND(AI70&gt;=27,AI70&lt;40,AG70&lt;=20),"Silty clay loam",IF(AND(AI70&gt;=35,AG70&gt;45),"Sandy clay",IF(AND(AI70&gt;=40,AH70&gt;=40),"Silty clay",IF(AND(AI70&gt;=40,AG70&lt;=45,AH70&lt;40),"Clay",""))))))))))))))</f>
      </c>
      <c r="AK70" s="25">
        <f>IF(OR(AD70="",T70="",N70=""),"",ROUND(AD70*T70*N70*(1-N(V70)/100),2))</f>
      </c>
      <c r="AL70" s="26">
        <f>IF(B70="","",IF(NOT(AND(LEFT(B70,3)="OFM",LEN(B70)=13)),"Sample ID must be OFM + 10 digits",IF(AND(C70="SOC",AA70="",AB70=""),"TOC 400 / ROC 600 missing",IF(AND(Z70&lt;&gt;"",AA70&lt;&gt;"",AB70&lt;&gt;"",AC70&lt;&gt;"",ABS(Z70-AA70-AB70-AC70)&gt;0.1),"TC &lt;&gt; TOC400 + ROC600 + TIC900",IF(AND(Z70&lt;&gt;"",AD70&lt;&gt;"",Z70&lt;AD70-0.05),"TC &lt; TOC — impossible",IF(AND(T70&lt;&gt;"",OR(T70&lt;0.6,T70&gt;2.0)),"BD outside 0.6-2.0 — verify",IF(AND(C70="Texture",AJ70="CHECK SUM"),"Sand+Silt+Clay must total 100",IF(AND(AD70&lt;&gt;"",AD70&gt;15),"TOC &gt;15% — organic soil?",IF(AND(C70="SOC",W70="",X70=""),"No dry mass/area — ESM not possible","OK"))))))))</f>
      </c>
    </row>
    <row r="71" spans="1:38" x14ac:dyDescent="0.25">
      <c r="A71" s="15">
        <v>66</v>
      </c>
      <c r="B71" s="15"/>
      <c r="C71" s="15"/>
      <c r="D71" s="15"/>
      <c r="E71" s="15"/>
      <c r="F71" s="15"/>
      <c r="G71" s="15"/>
      <c r="H71" s="15"/>
      <c r="I71" s="15"/>
      <c r="J71" s="15"/>
      <c r="K71" s="16"/>
      <c r="L71" s="17"/>
      <c r="M71" s="17"/>
      <c r="N71" s="18">
        <f>IF(OR(L71="",M71=""),"",M71-L71)</f>
      </c>
      <c r="O71" s="15"/>
      <c r="P71" s="15"/>
      <c r="Q71" s="15"/>
      <c r="R71" s="16"/>
      <c r="S71" s="15"/>
      <c r="T71" s="19"/>
      <c r="U71" s="20"/>
      <c r="V71" s="20"/>
      <c r="W71" s="21"/>
      <c r="X71" s="21"/>
      <c r="Y71" s="22">
        <f>IF(AND(W71&lt;&gt;"",X71&lt;&gt;"",X71&gt;0),ROUND(W71/X71*100,1),IF(OR(T71="",N71=""),"",ROUND(T71*N71*100*(1-N(V71)/100),1)))</f>
      </c>
      <c r="Z71" s="23"/>
      <c r="AA71" s="23"/>
      <c r="AB71" s="23"/>
      <c r="AC71" s="23"/>
      <c r="AD71" s="24">
        <f>IF(AND(AA71="",AB71=""),"",ROUND(N(AA71)+N(AB71),4))</f>
      </c>
      <c r="AE71" s="23"/>
      <c r="AF71" s="25">
        <f>IF(OR(AD71="",AE71="",AE71=0),"",ROUND(AD71/AE71,2))</f>
      </c>
      <c r="AG71" s="20"/>
      <c r="AH71" s="20"/>
      <c r="AI71" s="20"/>
      <c r="AJ71" s="26">
        <f>IF(OR(AG71="",AH71="",AI71=""),"",IF(ABS(AG71+AH71+AI71-100)&gt;1,"CHECK SUM",IF(AND(AH71+1.5*AI71&lt;15),"Sand",IF(AND(AH71+1.5*AI71&gt;=15,AH71+2*AI71&lt;30),"Loamy sand",IF(OR(AND(AI71&gt;=7,AI71&lt;20,AG71&gt;52,AH71+2*AI71&gt;=30),AND(AI71&lt;7,AH71&lt;50,AG71&gt;43,AH71+2*AI71&gt;=30)),"Sandy loam",IF(AND(AI71&gt;=7,AI71&lt;27,AH71&gt;=28,AH71&lt;50,AG71&lt;=52),"Loam",IF(OR(AND(AH71&gt;=50,AI71&gt;=12,AI71&lt;27),AND(AH71&gt;=50,AH71&lt;80,AI71&lt;12)),"Silt loam",IF(AND(AH71&gt;=80,AI71&lt;12),"Silt",IF(AND(AI71&gt;=20,AI71&lt;35,AH71&lt;28,AG71&gt;45),"Sandy clay loam",IF(AND(AI71&gt;=27,AI71&lt;40,AG71&gt;20,AG71&lt;=45),"Clay loam",IF(AND(AI71&gt;=27,AI71&lt;40,AG71&lt;=20),"Silty clay loam",IF(AND(AI71&gt;=35,AG71&gt;45),"Sandy clay",IF(AND(AI71&gt;=40,AH71&gt;=40),"Silty clay",IF(AND(AI71&gt;=40,AG71&lt;=45,AH71&lt;40),"Clay",""))))))))))))))</f>
      </c>
      <c r="AK71" s="25">
        <f>IF(OR(AD71="",T71="",N71=""),"",ROUND(AD71*T71*N71*(1-N(V71)/100),2))</f>
      </c>
      <c r="AL71" s="26">
        <f>IF(B71="","",IF(NOT(AND(LEFT(B71,3)="OFM",LEN(B71)=13)),"Sample ID must be OFM + 10 digits",IF(AND(C71="SOC",AA71="",AB71=""),"TOC 400 / ROC 600 missing",IF(AND(Z71&lt;&gt;"",AA71&lt;&gt;"",AB71&lt;&gt;"",AC71&lt;&gt;"",ABS(Z71-AA71-AB71-AC71)&gt;0.1),"TC &lt;&gt; TOC400 + ROC600 + TIC900",IF(AND(Z71&lt;&gt;"",AD71&lt;&gt;"",Z71&lt;AD71-0.05),"TC &lt; TOC — impossible",IF(AND(T71&lt;&gt;"",OR(T71&lt;0.6,T71&gt;2.0)),"BD outside 0.6-2.0 — verify",IF(AND(C71="Texture",AJ71="CHECK SUM"),"Sand+Silt+Clay must total 100",IF(AND(AD71&lt;&gt;"",AD71&gt;15),"TOC &gt;15% — organic soil?",IF(AND(C71="SOC",W71="",X71=""),"No dry mass/area — ESM not possible","OK"))))))))</f>
      </c>
    </row>
    <row r="72" spans="1:38" x14ac:dyDescent="0.25">
      <c r="A72" s="15">
        <v>67</v>
      </c>
      <c r="B72" s="15"/>
      <c r="C72" s="15"/>
      <c r="D72" s="15"/>
      <c r="E72" s="15"/>
      <c r="F72" s="15"/>
      <c r="G72" s="15"/>
      <c r="H72" s="15"/>
      <c r="I72" s="15"/>
      <c r="J72" s="15"/>
      <c r="K72" s="16"/>
      <c r="L72" s="17"/>
      <c r="M72" s="17"/>
      <c r="N72" s="18">
        <f>IF(OR(L72="",M72=""),"",M72-L72)</f>
      </c>
      <c r="O72" s="15"/>
      <c r="P72" s="15"/>
      <c r="Q72" s="15"/>
      <c r="R72" s="16"/>
      <c r="S72" s="15"/>
      <c r="T72" s="19"/>
      <c r="U72" s="20"/>
      <c r="V72" s="20"/>
      <c r="W72" s="21"/>
      <c r="X72" s="21"/>
      <c r="Y72" s="22">
        <f>IF(AND(W72&lt;&gt;"",X72&lt;&gt;"",X72&gt;0),ROUND(W72/X72*100,1),IF(OR(T72="",N72=""),"",ROUND(T72*N72*100*(1-N(V72)/100),1)))</f>
      </c>
      <c r="Z72" s="23"/>
      <c r="AA72" s="23"/>
      <c r="AB72" s="23"/>
      <c r="AC72" s="23"/>
      <c r="AD72" s="24">
        <f>IF(AND(AA72="",AB72=""),"",ROUND(N(AA72)+N(AB72),4))</f>
      </c>
      <c r="AE72" s="23"/>
      <c r="AF72" s="25">
        <f>IF(OR(AD72="",AE72="",AE72=0),"",ROUND(AD72/AE72,2))</f>
      </c>
      <c r="AG72" s="20"/>
      <c r="AH72" s="20"/>
      <c r="AI72" s="20"/>
      <c r="AJ72" s="26">
        <f>IF(OR(AG72="",AH72="",AI72=""),"",IF(ABS(AG72+AH72+AI72-100)&gt;1,"CHECK SUM",IF(AND(AH72+1.5*AI72&lt;15),"Sand",IF(AND(AH72+1.5*AI72&gt;=15,AH72+2*AI72&lt;30),"Loamy sand",IF(OR(AND(AI72&gt;=7,AI72&lt;20,AG72&gt;52,AH72+2*AI72&gt;=30),AND(AI72&lt;7,AH72&lt;50,AG72&gt;43,AH72+2*AI72&gt;=30)),"Sandy loam",IF(AND(AI72&gt;=7,AI72&lt;27,AH72&gt;=28,AH72&lt;50,AG72&lt;=52),"Loam",IF(OR(AND(AH72&gt;=50,AI72&gt;=12,AI72&lt;27),AND(AH72&gt;=50,AH72&lt;80,AI72&lt;12)),"Silt loam",IF(AND(AH72&gt;=80,AI72&lt;12),"Silt",IF(AND(AI72&gt;=20,AI72&lt;35,AH72&lt;28,AG72&gt;45),"Sandy clay loam",IF(AND(AI72&gt;=27,AI72&lt;40,AG72&gt;20,AG72&lt;=45),"Clay loam",IF(AND(AI72&gt;=27,AI72&lt;40,AG72&lt;=20),"Silty clay loam",IF(AND(AI72&gt;=35,AG72&gt;45),"Sandy clay",IF(AND(AI72&gt;=40,AH72&gt;=40),"Silty clay",IF(AND(AI72&gt;=40,AG72&lt;=45,AH72&lt;40),"Clay",""))))))))))))))</f>
      </c>
      <c r="AK72" s="25">
        <f>IF(OR(AD72="",T72="",N72=""),"",ROUND(AD72*T72*N72*(1-N(V72)/100),2))</f>
      </c>
      <c r="AL72" s="26">
        <f>IF(B72="","",IF(NOT(AND(LEFT(B72,3)="OFM",LEN(B72)=13)),"Sample ID must be OFM + 10 digits",IF(AND(C72="SOC",AA72="",AB72=""),"TOC 400 / ROC 600 missing",IF(AND(Z72&lt;&gt;"",AA72&lt;&gt;"",AB72&lt;&gt;"",AC72&lt;&gt;"",ABS(Z72-AA72-AB72-AC72)&gt;0.1),"TC &lt;&gt; TOC400 + ROC600 + TIC900",IF(AND(Z72&lt;&gt;"",AD72&lt;&gt;"",Z72&lt;AD72-0.05),"TC &lt; TOC — impossible",IF(AND(T72&lt;&gt;"",OR(T72&lt;0.6,T72&gt;2.0)),"BD outside 0.6-2.0 — verify",IF(AND(C72="Texture",AJ72="CHECK SUM"),"Sand+Silt+Clay must total 100",IF(AND(AD72&lt;&gt;"",AD72&gt;15),"TOC &gt;15% — organic soil?",IF(AND(C72="SOC",W72="",X72=""),"No dry mass/area — ESM not possible","OK"))))))))</f>
      </c>
    </row>
    <row r="73" spans="1:38" x14ac:dyDescent="0.25">
      <c r="A73" s="15">
        <v>68</v>
      </c>
      <c r="B73" s="15"/>
      <c r="C73" s="15"/>
      <c r="D73" s="15"/>
      <c r="E73" s="15"/>
      <c r="F73" s="15"/>
      <c r="G73" s="15"/>
      <c r="H73" s="15"/>
      <c r="I73" s="15"/>
      <c r="J73" s="15"/>
      <c r="K73" s="16"/>
      <c r="L73" s="17"/>
      <c r="M73" s="17"/>
      <c r="N73" s="18">
        <f>IF(OR(L73="",M73=""),"",M73-L73)</f>
      </c>
      <c r="O73" s="15"/>
      <c r="P73" s="15"/>
      <c r="Q73" s="15"/>
      <c r="R73" s="16"/>
      <c r="S73" s="15"/>
      <c r="T73" s="19"/>
      <c r="U73" s="20"/>
      <c r="V73" s="20"/>
      <c r="W73" s="21"/>
      <c r="X73" s="21"/>
      <c r="Y73" s="22">
        <f>IF(AND(W73&lt;&gt;"",X73&lt;&gt;"",X73&gt;0),ROUND(W73/X73*100,1),IF(OR(T73="",N73=""),"",ROUND(T73*N73*100*(1-N(V73)/100),1)))</f>
      </c>
      <c r="Z73" s="23"/>
      <c r="AA73" s="23"/>
      <c r="AB73" s="23"/>
      <c r="AC73" s="23"/>
      <c r="AD73" s="24">
        <f>IF(AND(AA73="",AB73=""),"",ROUND(N(AA73)+N(AB73),4))</f>
      </c>
      <c r="AE73" s="23"/>
      <c r="AF73" s="25">
        <f>IF(OR(AD73="",AE73="",AE73=0),"",ROUND(AD73/AE73,2))</f>
      </c>
      <c r="AG73" s="20"/>
      <c r="AH73" s="20"/>
      <c r="AI73" s="20"/>
      <c r="AJ73" s="26">
        <f>IF(OR(AG73="",AH73="",AI73=""),"",IF(ABS(AG73+AH73+AI73-100)&gt;1,"CHECK SUM",IF(AND(AH73+1.5*AI73&lt;15),"Sand",IF(AND(AH73+1.5*AI73&gt;=15,AH73+2*AI73&lt;30),"Loamy sand",IF(OR(AND(AI73&gt;=7,AI73&lt;20,AG73&gt;52,AH73+2*AI73&gt;=30),AND(AI73&lt;7,AH73&lt;50,AG73&gt;43,AH73+2*AI73&gt;=30)),"Sandy loam",IF(AND(AI73&gt;=7,AI73&lt;27,AH73&gt;=28,AH73&lt;50,AG73&lt;=52),"Loam",IF(OR(AND(AH73&gt;=50,AI73&gt;=12,AI73&lt;27),AND(AH73&gt;=50,AH73&lt;80,AI73&lt;12)),"Silt loam",IF(AND(AH73&gt;=80,AI73&lt;12),"Silt",IF(AND(AI73&gt;=20,AI73&lt;35,AH73&lt;28,AG73&gt;45),"Sandy clay loam",IF(AND(AI73&gt;=27,AI73&lt;40,AG73&gt;20,AG73&lt;=45),"Clay loam",IF(AND(AI73&gt;=27,AI73&lt;40,AG73&lt;=20),"Silty clay loam",IF(AND(AI73&gt;=35,AG73&gt;45),"Sandy clay",IF(AND(AI73&gt;=40,AH73&gt;=40),"Silty clay",IF(AND(AI73&gt;=40,AG73&lt;=45,AH73&lt;40),"Clay",""))))))))))))))</f>
      </c>
      <c r="AK73" s="25">
        <f>IF(OR(AD73="",T73="",N73=""),"",ROUND(AD73*T73*N73*(1-N(V73)/100),2))</f>
      </c>
      <c r="AL73" s="26">
        <f>IF(B73="","",IF(NOT(AND(LEFT(B73,3)="OFM",LEN(B73)=13)),"Sample ID must be OFM + 10 digits",IF(AND(C73="SOC",AA73="",AB73=""),"TOC 400 / ROC 600 missing",IF(AND(Z73&lt;&gt;"",AA73&lt;&gt;"",AB73&lt;&gt;"",AC73&lt;&gt;"",ABS(Z73-AA73-AB73-AC73)&gt;0.1),"TC &lt;&gt; TOC400 + ROC600 + TIC900",IF(AND(Z73&lt;&gt;"",AD73&lt;&gt;"",Z73&lt;AD73-0.05),"TC &lt; TOC — impossible",IF(AND(T73&lt;&gt;"",OR(T73&lt;0.6,T73&gt;2.0)),"BD outside 0.6-2.0 — verify",IF(AND(C73="Texture",AJ73="CHECK SUM"),"Sand+Silt+Clay must total 100",IF(AND(AD73&lt;&gt;"",AD73&gt;15),"TOC &gt;15% — organic soil?",IF(AND(C73="SOC",W73="",X73=""),"No dry mass/area — ESM not possible","OK"))))))))</f>
      </c>
    </row>
    <row r="74" spans="1:38" x14ac:dyDescent="0.25">
      <c r="A74" s="15">
        <v>69</v>
      </c>
      <c r="B74" s="15"/>
      <c r="C74" s="15"/>
      <c r="D74" s="15"/>
      <c r="E74" s="15"/>
      <c r="F74" s="15"/>
      <c r="G74" s="15"/>
      <c r="H74" s="15"/>
      <c r="I74" s="15"/>
      <c r="J74" s="15"/>
      <c r="K74" s="16"/>
      <c r="L74" s="17"/>
      <c r="M74" s="17"/>
      <c r="N74" s="18">
        <f>IF(OR(L74="",M74=""),"",M74-L74)</f>
      </c>
      <c r="O74" s="15"/>
      <c r="P74" s="15"/>
      <c r="Q74" s="15"/>
      <c r="R74" s="16"/>
      <c r="S74" s="15"/>
      <c r="T74" s="19"/>
      <c r="U74" s="20"/>
      <c r="V74" s="20"/>
      <c r="W74" s="21"/>
      <c r="X74" s="21"/>
      <c r="Y74" s="22">
        <f>IF(AND(W74&lt;&gt;"",X74&lt;&gt;"",X74&gt;0),ROUND(W74/X74*100,1),IF(OR(T74="",N74=""),"",ROUND(T74*N74*100*(1-N(V74)/100),1)))</f>
      </c>
      <c r="Z74" s="23"/>
      <c r="AA74" s="23"/>
      <c r="AB74" s="23"/>
      <c r="AC74" s="23"/>
      <c r="AD74" s="24">
        <f>IF(AND(AA74="",AB74=""),"",ROUND(N(AA74)+N(AB74),4))</f>
      </c>
      <c r="AE74" s="23"/>
      <c r="AF74" s="25">
        <f>IF(OR(AD74="",AE74="",AE74=0),"",ROUND(AD74/AE74,2))</f>
      </c>
      <c r="AG74" s="20"/>
      <c r="AH74" s="20"/>
      <c r="AI74" s="20"/>
      <c r="AJ74" s="26">
        <f>IF(OR(AG74="",AH74="",AI74=""),"",IF(ABS(AG74+AH74+AI74-100)&gt;1,"CHECK SUM",IF(AND(AH74+1.5*AI74&lt;15),"Sand",IF(AND(AH74+1.5*AI74&gt;=15,AH74+2*AI74&lt;30),"Loamy sand",IF(OR(AND(AI74&gt;=7,AI74&lt;20,AG74&gt;52,AH74+2*AI74&gt;=30),AND(AI74&lt;7,AH74&lt;50,AG74&gt;43,AH74+2*AI74&gt;=30)),"Sandy loam",IF(AND(AI74&gt;=7,AI74&lt;27,AH74&gt;=28,AH74&lt;50,AG74&lt;=52),"Loam",IF(OR(AND(AH74&gt;=50,AI74&gt;=12,AI74&lt;27),AND(AH74&gt;=50,AH74&lt;80,AI74&lt;12)),"Silt loam",IF(AND(AH74&gt;=80,AI74&lt;12),"Silt",IF(AND(AI74&gt;=20,AI74&lt;35,AH74&lt;28,AG74&gt;45),"Sandy clay loam",IF(AND(AI74&gt;=27,AI74&lt;40,AG74&gt;20,AG74&lt;=45),"Clay loam",IF(AND(AI74&gt;=27,AI74&lt;40,AG74&lt;=20),"Silty clay loam",IF(AND(AI74&gt;=35,AG74&gt;45),"Sandy clay",IF(AND(AI74&gt;=40,AH74&gt;=40),"Silty clay",IF(AND(AI74&gt;=40,AG74&lt;=45,AH74&lt;40),"Clay",""))))))))))))))</f>
      </c>
      <c r="AK74" s="25">
        <f>IF(OR(AD74="",T74="",N74=""),"",ROUND(AD74*T74*N74*(1-N(V74)/100),2))</f>
      </c>
      <c r="AL74" s="26">
        <f>IF(B74="","",IF(NOT(AND(LEFT(B74,3)="OFM",LEN(B74)=13)),"Sample ID must be OFM + 10 digits",IF(AND(C74="SOC",AA74="",AB74=""),"TOC 400 / ROC 600 missing",IF(AND(Z74&lt;&gt;"",AA74&lt;&gt;"",AB74&lt;&gt;"",AC74&lt;&gt;"",ABS(Z74-AA74-AB74-AC74)&gt;0.1),"TC &lt;&gt; TOC400 + ROC600 + TIC900",IF(AND(Z74&lt;&gt;"",AD74&lt;&gt;"",Z74&lt;AD74-0.05),"TC &lt; TOC — impossible",IF(AND(T74&lt;&gt;"",OR(T74&lt;0.6,T74&gt;2.0)),"BD outside 0.6-2.0 — verify",IF(AND(C74="Texture",AJ74="CHECK SUM"),"Sand+Silt+Clay must total 100",IF(AND(AD74&lt;&gt;"",AD74&gt;15),"TOC &gt;15% — organic soil?",IF(AND(C74="SOC",W74="",X74=""),"No dry mass/area — ESM not possible","OK"))))))))</f>
      </c>
    </row>
    <row r="75" spans="1:38" x14ac:dyDescent="0.25">
      <c r="A75" s="15">
        <v>70</v>
      </c>
      <c r="B75" s="15"/>
      <c r="C75" s="15"/>
      <c r="D75" s="15"/>
      <c r="E75" s="15"/>
      <c r="F75" s="15"/>
      <c r="G75" s="15"/>
      <c r="H75" s="15"/>
      <c r="I75" s="15"/>
      <c r="J75" s="15"/>
      <c r="K75" s="16"/>
      <c r="L75" s="17"/>
      <c r="M75" s="17"/>
      <c r="N75" s="18">
        <f>IF(OR(L75="",M75=""),"",M75-L75)</f>
      </c>
      <c r="O75" s="15"/>
      <c r="P75" s="15"/>
      <c r="Q75" s="15"/>
      <c r="R75" s="16"/>
      <c r="S75" s="15"/>
      <c r="T75" s="19"/>
      <c r="U75" s="20"/>
      <c r="V75" s="20"/>
      <c r="W75" s="21"/>
      <c r="X75" s="21"/>
      <c r="Y75" s="22">
        <f>IF(AND(W75&lt;&gt;"",X75&lt;&gt;"",X75&gt;0),ROUND(W75/X75*100,1),IF(OR(T75="",N75=""),"",ROUND(T75*N75*100*(1-N(V75)/100),1)))</f>
      </c>
      <c r="Z75" s="23"/>
      <c r="AA75" s="23"/>
      <c r="AB75" s="23"/>
      <c r="AC75" s="23"/>
      <c r="AD75" s="24">
        <f>IF(AND(AA75="",AB75=""),"",ROUND(N(AA75)+N(AB75),4))</f>
      </c>
      <c r="AE75" s="23"/>
      <c r="AF75" s="25">
        <f>IF(OR(AD75="",AE75="",AE75=0),"",ROUND(AD75/AE75,2))</f>
      </c>
      <c r="AG75" s="20"/>
      <c r="AH75" s="20"/>
      <c r="AI75" s="20"/>
      <c r="AJ75" s="26">
        <f>IF(OR(AG75="",AH75="",AI75=""),"",IF(ABS(AG75+AH75+AI75-100)&gt;1,"CHECK SUM",IF(AND(AH75+1.5*AI75&lt;15),"Sand",IF(AND(AH75+1.5*AI75&gt;=15,AH75+2*AI75&lt;30),"Loamy sand",IF(OR(AND(AI75&gt;=7,AI75&lt;20,AG75&gt;52,AH75+2*AI75&gt;=30),AND(AI75&lt;7,AH75&lt;50,AG75&gt;43,AH75+2*AI75&gt;=30)),"Sandy loam",IF(AND(AI75&gt;=7,AI75&lt;27,AH75&gt;=28,AH75&lt;50,AG75&lt;=52),"Loam",IF(OR(AND(AH75&gt;=50,AI75&gt;=12,AI75&lt;27),AND(AH75&gt;=50,AH75&lt;80,AI75&lt;12)),"Silt loam",IF(AND(AH75&gt;=80,AI75&lt;12),"Silt",IF(AND(AI75&gt;=20,AI75&lt;35,AH75&lt;28,AG75&gt;45),"Sandy clay loam",IF(AND(AI75&gt;=27,AI75&lt;40,AG75&gt;20,AG75&lt;=45),"Clay loam",IF(AND(AI75&gt;=27,AI75&lt;40,AG75&lt;=20),"Silty clay loam",IF(AND(AI75&gt;=35,AG75&gt;45),"Sandy clay",IF(AND(AI75&gt;=40,AH75&gt;=40),"Silty clay",IF(AND(AI75&gt;=40,AG75&lt;=45,AH75&lt;40),"Clay",""))))))))))))))</f>
      </c>
      <c r="AK75" s="25">
        <f>IF(OR(AD75="",T75="",N75=""),"",ROUND(AD75*T75*N75*(1-N(V75)/100),2))</f>
      </c>
      <c r="AL75" s="26">
        <f>IF(B75="","",IF(NOT(AND(LEFT(B75,3)="OFM",LEN(B75)=13)),"Sample ID must be OFM + 10 digits",IF(AND(C75="SOC",AA75="",AB75=""),"TOC 400 / ROC 600 missing",IF(AND(Z75&lt;&gt;"",AA75&lt;&gt;"",AB75&lt;&gt;"",AC75&lt;&gt;"",ABS(Z75-AA75-AB75-AC75)&gt;0.1),"TC &lt;&gt; TOC400 + ROC600 + TIC900",IF(AND(Z75&lt;&gt;"",AD75&lt;&gt;"",Z75&lt;AD75-0.05),"TC &lt; TOC — impossible",IF(AND(T75&lt;&gt;"",OR(T75&lt;0.6,T75&gt;2.0)),"BD outside 0.6-2.0 — verify",IF(AND(C75="Texture",AJ75="CHECK SUM"),"Sand+Silt+Clay must total 100",IF(AND(AD75&lt;&gt;"",AD75&gt;15),"TOC &gt;15% — organic soil?",IF(AND(C75="SOC",W75="",X75=""),"No dry mass/area — ESM not possible","OK"))))))))</f>
      </c>
    </row>
    <row r="76" spans="1:38" x14ac:dyDescent="0.25">
      <c r="A76" s="15">
        <v>71</v>
      </c>
      <c r="B76" s="15"/>
      <c r="C76" s="15"/>
      <c r="D76" s="15"/>
      <c r="E76" s="15"/>
      <c r="F76" s="15"/>
      <c r="G76" s="15"/>
      <c r="H76" s="15"/>
      <c r="I76" s="15"/>
      <c r="J76" s="15"/>
      <c r="K76" s="16"/>
      <c r="L76" s="17"/>
      <c r="M76" s="17"/>
      <c r="N76" s="18">
        <f>IF(OR(L76="",M76=""),"",M76-L76)</f>
      </c>
      <c r="O76" s="15"/>
      <c r="P76" s="15"/>
      <c r="Q76" s="15"/>
      <c r="R76" s="16"/>
      <c r="S76" s="15"/>
      <c r="T76" s="19"/>
      <c r="U76" s="20"/>
      <c r="V76" s="20"/>
      <c r="W76" s="21"/>
      <c r="X76" s="21"/>
      <c r="Y76" s="22">
        <f>IF(AND(W76&lt;&gt;"",X76&lt;&gt;"",X76&gt;0),ROUND(W76/X76*100,1),IF(OR(T76="",N76=""),"",ROUND(T76*N76*100*(1-N(V76)/100),1)))</f>
      </c>
      <c r="Z76" s="23"/>
      <c r="AA76" s="23"/>
      <c r="AB76" s="23"/>
      <c r="AC76" s="23"/>
      <c r="AD76" s="24">
        <f>IF(AND(AA76="",AB76=""),"",ROUND(N(AA76)+N(AB76),4))</f>
      </c>
      <c r="AE76" s="23"/>
      <c r="AF76" s="25">
        <f>IF(OR(AD76="",AE76="",AE76=0),"",ROUND(AD76/AE76,2))</f>
      </c>
      <c r="AG76" s="20"/>
      <c r="AH76" s="20"/>
      <c r="AI76" s="20"/>
      <c r="AJ76" s="26">
        <f>IF(OR(AG76="",AH76="",AI76=""),"",IF(ABS(AG76+AH76+AI76-100)&gt;1,"CHECK SUM",IF(AND(AH76+1.5*AI76&lt;15),"Sand",IF(AND(AH76+1.5*AI76&gt;=15,AH76+2*AI76&lt;30),"Loamy sand",IF(OR(AND(AI76&gt;=7,AI76&lt;20,AG76&gt;52,AH76+2*AI76&gt;=30),AND(AI76&lt;7,AH76&lt;50,AG76&gt;43,AH76+2*AI76&gt;=30)),"Sandy loam",IF(AND(AI76&gt;=7,AI76&lt;27,AH76&gt;=28,AH76&lt;50,AG76&lt;=52),"Loam",IF(OR(AND(AH76&gt;=50,AI76&gt;=12,AI76&lt;27),AND(AH76&gt;=50,AH76&lt;80,AI76&lt;12)),"Silt loam",IF(AND(AH76&gt;=80,AI76&lt;12),"Silt",IF(AND(AI76&gt;=20,AI76&lt;35,AH76&lt;28,AG76&gt;45),"Sandy clay loam",IF(AND(AI76&gt;=27,AI76&lt;40,AG76&gt;20,AG76&lt;=45),"Clay loam",IF(AND(AI76&gt;=27,AI76&lt;40,AG76&lt;=20),"Silty clay loam",IF(AND(AI76&gt;=35,AG76&gt;45),"Sandy clay",IF(AND(AI76&gt;=40,AH76&gt;=40),"Silty clay",IF(AND(AI76&gt;=40,AG76&lt;=45,AH76&lt;40),"Clay",""))))))))))))))</f>
      </c>
      <c r="AK76" s="25">
        <f>IF(OR(AD76="",T76="",N76=""),"",ROUND(AD76*T76*N76*(1-N(V76)/100),2))</f>
      </c>
      <c r="AL76" s="26">
        <f>IF(B76="","",IF(NOT(AND(LEFT(B76,3)="OFM",LEN(B76)=13)),"Sample ID must be OFM + 10 digits",IF(AND(C76="SOC",AA76="",AB76=""),"TOC 400 / ROC 600 missing",IF(AND(Z76&lt;&gt;"",AA76&lt;&gt;"",AB76&lt;&gt;"",AC76&lt;&gt;"",ABS(Z76-AA76-AB76-AC76)&gt;0.1),"TC &lt;&gt; TOC400 + ROC600 + TIC900",IF(AND(Z76&lt;&gt;"",AD76&lt;&gt;"",Z76&lt;AD76-0.05),"TC &lt; TOC — impossible",IF(AND(T76&lt;&gt;"",OR(T76&lt;0.6,T76&gt;2.0)),"BD outside 0.6-2.0 — verify",IF(AND(C76="Texture",AJ76="CHECK SUM"),"Sand+Silt+Clay must total 100",IF(AND(AD76&lt;&gt;"",AD76&gt;15),"TOC &gt;15% — organic soil?",IF(AND(C76="SOC",W76="",X76=""),"No dry mass/area — ESM not possible","OK"))))))))</f>
      </c>
    </row>
    <row r="77" spans="1:38" x14ac:dyDescent="0.25">
      <c r="A77" s="15">
        <v>72</v>
      </c>
      <c r="B77" s="15"/>
      <c r="C77" s="15"/>
      <c r="D77" s="15"/>
      <c r="E77" s="15"/>
      <c r="F77" s="15"/>
      <c r="G77" s="15"/>
      <c r="H77" s="15"/>
      <c r="I77" s="15"/>
      <c r="J77" s="15"/>
      <c r="K77" s="16"/>
      <c r="L77" s="17"/>
      <c r="M77" s="17"/>
      <c r="N77" s="18">
        <f>IF(OR(L77="",M77=""),"",M77-L77)</f>
      </c>
      <c r="O77" s="15"/>
      <c r="P77" s="15"/>
      <c r="Q77" s="15"/>
      <c r="R77" s="16"/>
      <c r="S77" s="15"/>
      <c r="T77" s="19"/>
      <c r="U77" s="20"/>
      <c r="V77" s="20"/>
      <c r="W77" s="21"/>
      <c r="X77" s="21"/>
      <c r="Y77" s="22">
        <f>IF(AND(W77&lt;&gt;"",X77&lt;&gt;"",X77&gt;0),ROUND(W77/X77*100,1),IF(OR(T77="",N77=""),"",ROUND(T77*N77*100*(1-N(V77)/100),1)))</f>
      </c>
      <c r="Z77" s="23"/>
      <c r="AA77" s="23"/>
      <c r="AB77" s="23"/>
      <c r="AC77" s="23"/>
      <c r="AD77" s="24">
        <f>IF(AND(AA77="",AB77=""),"",ROUND(N(AA77)+N(AB77),4))</f>
      </c>
      <c r="AE77" s="23"/>
      <c r="AF77" s="25">
        <f>IF(OR(AD77="",AE77="",AE77=0),"",ROUND(AD77/AE77,2))</f>
      </c>
      <c r="AG77" s="20"/>
      <c r="AH77" s="20"/>
      <c r="AI77" s="20"/>
      <c r="AJ77" s="26">
        <f>IF(OR(AG77="",AH77="",AI77=""),"",IF(ABS(AG77+AH77+AI77-100)&gt;1,"CHECK SUM",IF(AND(AH77+1.5*AI77&lt;15),"Sand",IF(AND(AH77+1.5*AI77&gt;=15,AH77+2*AI77&lt;30),"Loamy sand",IF(OR(AND(AI77&gt;=7,AI77&lt;20,AG77&gt;52,AH77+2*AI77&gt;=30),AND(AI77&lt;7,AH77&lt;50,AG77&gt;43,AH77+2*AI77&gt;=30)),"Sandy loam",IF(AND(AI77&gt;=7,AI77&lt;27,AH77&gt;=28,AH77&lt;50,AG77&lt;=52),"Loam",IF(OR(AND(AH77&gt;=50,AI77&gt;=12,AI77&lt;27),AND(AH77&gt;=50,AH77&lt;80,AI77&lt;12)),"Silt loam",IF(AND(AH77&gt;=80,AI77&lt;12),"Silt",IF(AND(AI77&gt;=20,AI77&lt;35,AH77&lt;28,AG77&gt;45),"Sandy clay loam",IF(AND(AI77&gt;=27,AI77&lt;40,AG77&gt;20,AG77&lt;=45),"Clay loam",IF(AND(AI77&gt;=27,AI77&lt;40,AG77&lt;=20),"Silty clay loam",IF(AND(AI77&gt;=35,AG77&gt;45),"Sandy clay",IF(AND(AI77&gt;=40,AH77&gt;=40),"Silty clay",IF(AND(AI77&gt;=40,AG77&lt;=45,AH77&lt;40),"Clay",""))))))))))))))</f>
      </c>
      <c r="AK77" s="25">
        <f>IF(OR(AD77="",T77="",N77=""),"",ROUND(AD77*T77*N77*(1-N(V77)/100),2))</f>
      </c>
      <c r="AL77" s="26">
        <f>IF(B77="","",IF(NOT(AND(LEFT(B77,3)="OFM",LEN(B77)=13)),"Sample ID must be OFM + 10 digits",IF(AND(C77="SOC",AA77="",AB77=""),"TOC 400 / ROC 600 missing",IF(AND(Z77&lt;&gt;"",AA77&lt;&gt;"",AB77&lt;&gt;"",AC77&lt;&gt;"",ABS(Z77-AA77-AB77-AC77)&gt;0.1),"TC &lt;&gt; TOC400 + ROC600 + TIC900",IF(AND(Z77&lt;&gt;"",AD77&lt;&gt;"",Z77&lt;AD77-0.05),"TC &lt; TOC — impossible",IF(AND(T77&lt;&gt;"",OR(T77&lt;0.6,T77&gt;2.0)),"BD outside 0.6-2.0 — verify",IF(AND(C77="Texture",AJ77="CHECK SUM"),"Sand+Silt+Clay must total 100",IF(AND(AD77&lt;&gt;"",AD77&gt;15),"TOC &gt;15% — organic soil?",IF(AND(C77="SOC",W77="",X77=""),"No dry mass/area — ESM not possible","OK"))))))))</f>
      </c>
    </row>
    <row r="78" spans="1:38" x14ac:dyDescent="0.25">
      <c r="A78" s="15">
        <v>73</v>
      </c>
      <c r="B78" s="15"/>
      <c r="C78" s="15"/>
      <c r="D78" s="15"/>
      <c r="E78" s="15"/>
      <c r="F78" s="15"/>
      <c r="G78" s="15"/>
      <c r="H78" s="15"/>
      <c r="I78" s="15"/>
      <c r="J78" s="15"/>
      <c r="K78" s="16"/>
      <c r="L78" s="17"/>
      <c r="M78" s="17"/>
      <c r="N78" s="18">
        <f>IF(OR(L78="",M78=""),"",M78-L78)</f>
      </c>
      <c r="O78" s="15"/>
      <c r="P78" s="15"/>
      <c r="Q78" s="15"/>
      <c r="R78" s="16"/>
      <c r="S78" s="15"/>
      <c r="T78" s="19"/>
      <c r="U78" s="20"/>
      <c r="V78" s="20"/>
      <c r="W78" s="21"/>
      <c r="X78" s="21"/>
      <c r="Y78" s="22">
        <f>IF(AND(W78&lt;&gt;"",X78&lt;&gt;"",X78&gt;0),ROUND(W78/X78*100,1),IF(OR(T78="",N78=""),"",ROUND(T78*N78*100*(1-N(V78)/100),1)))</f>
      </c>
      <c r="Z78" s="23"/>
      <c r="AA78" s="23"/>
      <c r="AB78" s="23"/>
      <c r="AC78" s="23"/>
      <c r="AD78" s="24">
        <f>IF(AND(AA78="",AB78=""),"",ROUND(N(AA78)+N(AB78),4))</f>
      </c>
      <c r="AE78" s="23"/>
      <c r="AF78" s="25">
        <f>IF(OR(AD78="",AE78="",AE78=0),"",ROUND(AD78/AE78,2))</f>
      </c>
      <c r="AG78" s="20"/>
      <c r="AH78" s="20"/>
      <c r="AI78" s="20"/>
      <c r="AJ78" s="26">
        <f>IF(OR(AG78="",AH78="",AI78=""),"",IF(ABS(AG78+AH78+AI78-100)&gt;1,"CHECK SUM",IF(AND(AH78+1.5*AI78&lt;15),"Sand",IF(AND(AH78+1.5*AI78&gt;=15,AH78+2*AI78&lt;30),"Loamy sand",IF(OR(AND(AI78&gt;=7,AI78&lt;20,AG78&gt;52,AH78+2*AI78&gt;=30),AND(AI78&lt;7,AH78&lt;50,AG78&gt;43,AH78+2*AI78&gt;=30)),"Sandy loam",IF(AND(AI78&gt;=7,AI78&lt;27,AH78&gt;=28,AH78&lt;50,AG78&lt;=52),"Loam",IF(OR(AND(AH78&gt;=50,AI78&gt;=12,AI78&lt;27),AND(AH78&gt;=50,AH78&lt;80,AI78&lt;12)),"Silt loam",IF(AND(AH78&gt;=80,AI78&lt;12),"Silt",IF(AND(AI78&gt;=20,AI78&lt;35,AH78&lt;28,AG78&gt;45),"Sandy clay loam",IF(AND(AI78&gt;=27,AI78&lt;40,AG78&gt;20,AG78&lt;=45),"Clay loam",IF(AND(AI78&gt;=27,AI78&lt;40,AG78&lt;=20),"Silty clay loam",IF(AND(AI78&gt;=35,AG78&gt;45),"Sandy clay",IF(AND(AI78&gt;=40,AH78&gt;=40),"Silty clay",IF(AND(AI78&gt;=40,AG78&lt;=45,AH78&lt;40),"Clay",""))))))))))))))</f>
      </c>
      <c r="AK78" s="25">
        <f>IF(OR(AD78="",T78="",N78=""),"",ROUND(AD78*T78*N78*(1-N(V78)/100),2))</f>
      </c>
      <c r="AL78" s="26">
        <f>IF(B78="","",IF(NOT(AND(LEFT(B78,3)="OFM",LEN(B78)=13)),"Sample ID must be OFM + 10 digits",IF(AND(C78="SOC",AA78="",AB78=""),"TOC 400 / ROC 600 missing",IF(AND(Z78&lt;&gt;"",AA78&lt;&gt;"",AB78&lt;&gt;"",AC78&lt;&gt;"",ABS(Z78-AA78-AB78-AC78)&gt;0.1),"TC &lt;&gt; TOC400 + ROC600 + TIC900",IF(AND(Z78&lt;&gt;"",AD78&lt;&gt;"",Z78&lt;AD78-0.05),"TC &lt; TOC — impossible",IF(AND(T78&lt;&gt;"",OR(T78&lt;0.6,T78&gt;2.0)),"BD outside 0.6-2.0 — verify",IF(AND(C78="Texture",AJ78="CHECK SUM"),"Sand+Silt+Clay must total 100",IF(AND(AD78&lt;&gt;"",AD78&gt;15),"TOC &gt;15% — organic soil?",IF(AND(C78="SOC",W78="",X78=""),"No dry mass/area — ESM not possible","OK"))))))))</f>
      </c>
    </row>
    <row r="79" spans="1:38" x14ac:dyDescent="0.25">
      <c r="A79" s="15">
        <v>74</v>
      </c>
      <c r="B79" s="15"/>
      <c r="C79" s="15"/>
      <c r="D79" s="15"/>
      <c r="E79" s="15"/>
      <c r="F79" s="15"/>
      <c r="G79" s="15"/>
      <c r="H79" s="15"/>
      <c r="I79" s="15"/>
      <c r="J79" s="15"/>
      <c r="K79" s="16"/>
      <c r="L79" s="17"/>
      <c r="M79" s="17"/>
      <c r="N79" s="18">
        <f>IF(OR(L79="",M79=""),"",M79-L79)</f>
      </c>
      <c r="O79" s="15"/>
      <c r="P79" s="15"/>
      <c r="Q79" s="15"/>
      <c r="R79" s="16"/>
      <c r="S79" s="15"/>
      <c r="T79" s="19"/>
      <c r="U79" s="20"/>
      <c r="V79" s="20"/>
      <c r="W79" s="21"/>
      <c r="X79" s="21"/>
      <c r="Y79" s="22">
        <f>IF(AND(W79&lt;&gt;"",X79&lt;&gt;"",X79&gt;0),ROUND(W79/X79*100,1),IF(OR(T79="",N79=""),"",ROUND(T79*N79*100*(1-N(V79)/100),1)))</f>
      </c>
      <c r="Z79" s="23"/>
      <c r="AA79" s="23"/>
      <c r="AB79" s="23"/>
      <c r="AC79" s="23"/>
      <c r="AD79" s="24">
        <f>IF(AND(AA79="",AB79=""),"",ROUND(N(AA79)+N(AB79),4))</f>
      </c>
      <c r="AE79" s="23"/>
      <c r="AF79" s="25">
        <f>IF(OR(AD79="",AE79="",AE79=0),"",ROUND(AD79/AE79,2))</f>
      </c>
      <c r="AG79" s="20"/>
      <c r="AH79" s="20"/>
      <c r="AI79" s="20"/>
      <c r="AJ79" s="26">
        <f>IF(OR(AG79="",AH79="",AI79=""),"",IF(ABS(AG79+AH79+AI79-100)&gt;1,"CHECK SUM",IF(AND(AH79+1.5*AI79&lt;15),"Sand",IF(AND(AH79+1.5*AI79&gt;=15,AH79+2*AI79&lt;30),"Loamy sand",IF(OR(AND(AI79&gt;=7,AI79&lt;20,AG79&gt;52,AH79+2*AI79&gt;=30),AND(AI79&lt;7,AH79&lt;50,AG79&gt;43,AH79+2*AI79&gt;=30)),"Sandy loam",IF(AND(AI79&gt;=7,AI79&lt;27,AH79&gt;=28,AH79&lt;50,AG79&lt;=52),"Loam",IF(OR(AND(AH79&gt;=50,AI79&gt;=12,AI79&lt;27),AND(AH79&gt;=50,AH79&lt;80,AI79&lt;12)),"Silt loam",IF(AND(AH79&gt;=80,AI79&lt;12),"Silt",IF(AND(AI79&gt;=20,AI79&lt;35,AH79&lt;28,AG79&gt;45),"Sandy clay loam",IF(AND(AI79&gt;=27,AI79&lt;40,AG79&gt;20,AG79&lt;=45),"Clay loam",IF(AND(AI79&gt;=27,AI79&lt;40,AG79&lt;=20),"Silty clay loam",IF(AND(AI79&gt;=35,AG79&gt;45),"Sandy clay",IF(AND(AI79&gt;=40,AH79&gt;=40),"Silty clay",IF(AND(AI79&gt;=40,AG79&lt;=45,AH79&lt;40),"Clay",""))))))))))))))</f>
      </c>
      <c r="AK79" s="25">
        <f>IF(OR(AD79="",T79="",N79=""),"",ROUND(AD79*T79*N79*(1-N(V79)/100),2))</f>
      </c>
      <c r="AL79" s="26">
        <f>IF(B79="","",IF(NOT(AND(LEFT(B79,3)="OFM",LEN(B79)=13)),"Sample ID must be OFM + 10 digits",IF(AND(C79="SOC",AA79="",AB79=""),"TOC 400 / ROC 600 missing",IF(AND(Z79&lt;&gt;"",AA79&lt;&gt;"",AB79&lt;&gt;"",AC79&lt;&gt;"",ABS(Z79-AA79-AB79-AC79)&gt;0.1),"TC &lt;&gt; TOC400 + ROC600 + TIC900",IF(AND(Z79&lt;&gt;"",AD79&lt;&gt;"",Z79&lt;AD79-0.05),"TC &lt; TOC — impossible",IF(AND(T79&lt;&gt;"",OR(T79&lt;0.6,T79&gt;2.0)),"BD outside 0.6-2.0 — verify",IF(AND(C79="Texture",AJ79="CHECK SUM"),"Sand+Silt+Clay must total 100",IF(AND(AD79&lt;&gt;"",AD79&gt;15),"TOC &gt;15% — organic soil?",IF(AND(C79="SOC",W79="",X79=""),"No dry mass/area — ESM not possible","OK"))))))))</f>
      </c>
    </row>
    <row r="80" spans="1:38" x14ac:dyDescent="0.25">
      <c r="A80" s="15">
        <v>75</v>
      </c>
      <c r="B80" s="15"/>
      <c r="C80" s="15"/>
      <c r="D80" s="15"/>
      <c r="E80" s="15"/>
      <c r="F80" s="15"/>
      <c r="G80" s="15"/>
      <c r="H80" s="15"/>
      <c r="I80" s="15"/>
      <c r="J80" s="15"/>
      <c r="K80" s="16"/>
      <c r="L80" s="17"/>
      <c r="M80" s="17"/>
      <c r="N80" s="18">
        <f>IF(OR(L80="",M80=""),"",M80-L80)</f>
      </c>
      <c r="O80" s="15"/>
      <c r="P80" s="15"/>
      <c r="Q80" s="15"/>
      <c r="R80" s="16"/>
      <c r="S80" s="15"/>
      <c r="T80" s="19"/>
      <c r="U80" s="20"/>
      <c r="V80" s="20"/>
      <c r="W80" s="21"/>
      <c r="X80" s="21"/>
      <c r="Y80" s="22">
        <f>IF(AND(W80&lt;&gt;"",X80&lt;&gt;"",X80&gt;0),ROUND(W80/X80*100,1),IF(OR(T80="",N80=""),"",ROUND(T80*N80*100*(1-N(V80)/100),1)))</f>
      </c>
      <c r="Z80" s="23"/>
      <c r="AA80" s="23"/>
      <c r="AB80" s="23"/>
      <c r="AC80" s="23"/>
      <c r="AD80" s="24">
        <f>IF(AND(AA80="",AB80=""),"",ROUND(N(AA80)+N(AB80),4))</f>
      </c>
      <c r="AE80" s="23"/>
      <c r="AF80" s="25">
        <f>IF(OR(AD80="",AE80="",AE80=0),"",ROUND(AD80/AE80,2))</f>
      </c>
      <c r="AG80" s="20"/>
      <c r="AH80" s="20"/>
      <c r="AI80" s="20"/>
      <c r="AJ80" s="26">
        <f>IF(OR(AG80="",AH80="",AI80=""),"",IF(ABS(AG80+AH80+AI80-100)&gt;1,"CHECK SUM",IF(AND(AH80+1.5*AI80&lt;15),"Sand",IF(AND(AH80+1.5*AI80&gt;=15,AH80+2*AI80&lt;30),"Loamy sand",IF(OR(AND(AI80&gt;=7,AI80&lt;20,AG80&gt;52,AH80+2*AI80&gt;=30),AND(AI80&lt;7,AH80&lt;50,AG80&gt;43,AH80+2*AI80&gt;=30)),"Sandy loam",IF(AND(AI80&gt;=7,AI80&lt;27,AH80&gt;=28,AH80&lt;50,AG80&lt;=52),"Loam",IF(OR(AND(AH80&gt;=50,AI80&gt;=12,AI80&lt;27),AND(AH80&gt;=50,AH80&lt;80,AI80&lt;12)),"Silt loam",IF(AND(AH80&gt;=80,AI80&lt;12),"Silt",IF(AND(AI80&gt;=20,AI80&lt;35,AH80&lt;28,AG80&gt;45),"Sandy clay loam",IF(AND(AI80&gt;=27,AI80&lt;40,AG80&gt;20,AG80&lt;=45),"Clay loam",IF(AND(AI80&gt;=27,AI80&lt;40,AG80&lt;=20),"Silty clay loam",IF(AND(AI80&gt;=35,AG80&gt;45),"Sandy clay",IF(AND(AI80&gt;=40,AH80&gt;=40),"Silty clay",IF(AND(AI80&gt;=40,AG80&lt;=45,AH80&lt;40),"Clay",""))))))))))))))</f>
      </c>
      <c r="AK80" s="25">
        <f>IF(OR(AD80="",T80="",N80=""),"",ROUND(AD80*T80*N80*(1-N(V80)/100),2))</f>
      </c>
      <c r="AL80" s="26">
        <f>IF(B80="","",IF(NOT(AND(LEFT(B80,3)="OFM",LEN(B80)=13)),"Sample ID must be OFM + 10 digits",IF(AND(C80="SOC",AA80="",AB80=""),"TOC 400 / ROC 600 missing",IF(AND(Z80&lt;&gt;"",AA80&lt;&gt;"",AB80&lt;&gt;"",AC80&lt;&gt;"",ABS(Z80-AA80-AB80-AC80)&gt;0.1),"TC &lt;&gt; TOC400 + ROC600 + TIC900",IF(AND(Z80&lt;&gt;"",AD80&lt;&gt;"",Z80&lt;AD80-0.05),"TC &lt; TOC — impossible",IF(AND(T80&lt;&gt;"",OR(T80&lt;0.6,T80&gt;2.0)),"BD outside 0.6-2.0 — verify",IF(AND(C80="Texture",AJ80="CHECK SUM"),"Sand+Silt+Clay must total 100",IF(AND(AD80&lt;&gt;"",AD80&gt;15),"TOC &gt;15% — organic soil?",IF(AND(C80="SOC",W80="",X80=""),"No dry mass/area — ESM not possible","OK"))))))))</f>
      </c>
    </row>
    <row r="81" spans="1:38" x14ac:dyDescent="0.25">
      <c r="A81" s="15">
        <v>76</v>
      </c>
      <c r="B81" s="15"/>
      <c r="C81" s="15"/>
      <c r="D81" s="15"/>
      <c r="E81" s="15"/>
      <c r="F81" s="15"/>
      <c r="G81" s="15"/>
      <c r="H81" s="15"/>
      <c r="I81" s="15"/>
      <c r="J81" s="15"/>
      <c r="K81" s="16"/>
      <c r="L81" s="17"/>
      <c r="M81" s="17"/>
      <c r="N81" s="18">
        <f>IF(OR(L81="",M81=""),"",M81-L81)</f>
      </c>
      <c r="O81" s="15"/>
      <c r="P81" s="15"/>
      <c r="Q81" s="15"/>
      <c r="R81" s="16"/>
      <c r="S81" s="15"/>
      <c r="T81" s="19"/>
      <c r="U81" s="20"/>
      <c r="V81" s="20"/>
      <c r="W81" s="21"/>
      <c r="X81" s="21"/>
      <c r="Y81" s="22">
        <f>IF(AND(W81&lt;&gt;"",X81&lt;&gt;"",X81&gt;0),ROUND(W81/X81*100,1),IF(OR(T81="",N81=""),"",ROUND(T81*N81*100*(1-N(V81)/100),1)))</f>
      </c>
      <c r="Z81" s="23"/>
      <c r="AA81" s="23"/>
      <c r="AB81" s="23"/>
      <c r="AC81" s="23"/>
      <c r="AD81" s="24">
        <f>IF(AND(AA81="",AB81=""),"",ROUND(N(AA81)+N(AB81),4))</f>
      </c>
      <c r="AE81" s="23"/>
      <c r="AF81" s="25">
        <f>IF(OR(AD81="",AE81="",AE81=0),"",ROUND(AD81/AE81,2))</f>
      </c>
      <c r="AG81" s="20"/>
      <c r="AH81" s="20"/>
      <c r="AI81" s="20"/>
      <c r="AJ81" s="26">
        <f>IF(OR(AG81="",AH81="",AI81=""),"",IF(ABS(AG81+AH81+AI81-100)&gt;1,"CHECK SUM",IF(AND(AH81+1.5*AI81&lt;15),"Sand",IF(AND(AH81+1.5*AI81&gt;=15,AH81+2*AI81&lt;30),"Loamy sand",IF(OR(AND(AI81&gt;=7,AI81&lt;20,AG81&gt;52,AH81+2*AI81&gt;=30),AND(AI81&lt;7,AH81&lt;50,AG81&gt;43,AH81+2*AI81&gt;=30)),"Sandy loam",IF(AND(AI81&gt;=7,AI81&lt;27,AH81&gt;=28,AH81&lt;50,AG81&lt;=52),"Loam",IF(OR(AND(AH81&gt;=50,AI81&gt;=12,AI81&lt;27),AND(AH81&gt;=50,AH81&lt;80,AI81&lt;12)),"Silt loam",IF(AND(AH81&gt;=80,AI81&lt;12),"Silt",IF(AND(AI81&gt;=20,AI81&lt;35,AH81&lt;28,AG81&gt;45),"Sandy clay loam",IF(AND(AI81&gt;=27,AI81&lt;40,AG81&gt;20,AG81&lt;=45),"Clay loam",IF(AND(AI81&gt;=27,AI81&lt;40,AG81&lt;=20),"Silty clay loam",IF(AND(AI81&gt;=35,AG81&gt;45),"Sandy clay",IF(AND(AI81&gt;=40,AH81&gt;=40),"Silty clay",IF(AND(AI81&gt;=40,AG81&lt;=45,AH81&lt;40),"Clay",""))))))))))))))</f>
      </c>
      <c r="AK81" s="25">
        <f>IF(OR(AD81="",T81="",N81=""),"",ROUND(AD81*T81*N81*(1-N(V81)/100),2))</f>
      </c>
      <c r="AL81" s="26">
        <f>IF(B81="","",IF(NOT(AND(LEFT(B81,3)="OFM",LEN(B81)=13)),"Sample ID must be OFM + 10 digits",IF(AND(C81="SOC",AA81="",AB81=""),"TOC 400 / ROC 600 missing",IF(AND(Z81&lt;&gt;"",AA81&lt;&gt;"",AB81&lt;&gt;"",AC81&lt;&gt;"",ABS(Z81-AA81-AB81-AC81)&gt;0.1),"TC &lt;&gt; TOC400 + ROC600 + TIC900",IF(AND(Z81&lt;&gt;"",AD81&lt;&gt;"",Z81&lt;AD81-0.05),"TC &lt; TOC — impossible",IF(AND(T81&lt;&gt;"",OR(T81&lt;0.6,T81&gt;2.0)),"BD outside 0.6-2.0 — verify",IF(AND(C81="Texture",AJ81="CHECK SUM"),"Sand+Silt+Clay must total 100",IF(AND(AD81&lt;&gt;"",AD81&gt;15),"TOC &gt;15% — organic soil?",IF(AND(C81="SOC",W81="",X81=""),"No dry mass/area — ESM not possible","OK"))))))))</f>
      </c>
    </row>
    <row r="82" spans="1:38" x14ac:dyDescent="0.25">
      <c r="A82" s="15">
        <v>77</v>
      </c>
      <c r="B82" s="15"/>
      <c r="C82" s="15"/>
      <c r="D82" s="15"/>
      <c r="E82" s="15"/>
      <c r="F82" s="15"/>
      <c r="G82" s="15"/>
      <c r="H82" s="15"/>
      <c r="I82" s="15"/>
      <c r="J82" s="15"/>
      <c r="K82" s="16"/>
      <c r="L82" s="17"/>
      <c r="M82" s="17"/>
      <c r="N82" s="18">
        <f>IF(OR(L82="",M82=""),"",M82-L82)</f>
      </c>
      <c r="O82" s="15"/>
      <c r="P82" s="15"/>
      <c r="Q82" s="15"/>
      <c r="R82" s="16"/>
      <c r="S82" s="15"/>
      <c r="T82" s="19"/>
      <c r="U82" s="20"/>
      <c r="V82" s="20"/>
      <c r="W82" s="21"/>
      <c r="X82" s="21"/>
      <c r="Y82" s="22">
        <f>IF(AND(W82&lt;&gt;"",X82&lt;&gt;"",X82&gt;0),ROUND(W82/X82*100,1),IF(OR(T82="",N82=""),"",ROUND(T82*N82*100*(1-N(V82)/100),1)))</f>
      </c>
      <c r="Z82" s="23"/>
      <c r="AA82" s="23"/>
      <c r="AB82" s="23"/>
      <c r="AC82" s="23"/>
      <c r="AD82" s="24">
        <f>IF(AND(AA82="",AB82=""),"",ROUND(N(AA82)+N(AB82),4))</f>
      </c>
      <c r="AE82" s="23"/>
      <c r="AF82" s="25">
        <f>IF(OR(AD82="",AE82="",AE82=0),"",ROUND(AD82/AE82,2))</f>
      </c>
      <c r="AG82" s="20"/>
      <c r="AH82" s="20"/>
      <c r="AI82" s="20"/>
      <c r="AJ82" s="26">
        <f>IF(OR(AG82="",AH82="",AI82=""),"",IF(ABS(AG82+AH82+AI82-100)&gt;1,"CHECK SUM",IF(AND(AH82+1.5*AI82&lt;15),"Sand",IF(AND(AH82+1.5*AI82&gt;=15,AH82+2*AI82&lt;30),"Loamy sand",IF(OR(AND(AI82&gt;=7,AI82&lt;20,AG82&gt;52,AH82+2*AI82&gt;=30),AND(AI82&lt;7,AH82&lt;50,AG82&gt;43,AH82+2*AI82&gt;=30)),"Sandy loam",IF(AND(AI82&gt;=7,AI82&lt;27,AH82&gt;=28,AH82&lt;50,AG82&lt;=52),"Loam",IF(OR(AND(AH82&gt;=50,AI82&gt;=12,AI82&lt;27),AND(AH82&gt;=50,AH82&lt;80,AI82&lt;12)),"Silt loam",IF(AND(AH82&gt;=80,AI82&lt;12),"Silt",IF(AND(AI82&gt;=20,AI82&lt;35,AH82&lt;28,AG82&gt;45),"Sandy clay loam",IF(AND(AI82&gt;=27,AI82&lt;40,AG82&gt;20,AG82&lt;=45),"Clay loam",IF(AND(AI82&gt;=27,AI82&lt;40,AG82&lt;=20),"Silty clay loam",IF(AND(AI82&gt;=35,AG82&gt;45),"Sandy clay",IF(AND(AI82&gt;=40,AH82&gt;=40),"Silty clay",IF(AND(AI82&gt;=40,AG82&lt;=45,AH82&lt;40),"Clay",""))))))))))))))</f>
      </c>
      <c r="AK82" s="25">
        <f>IF(OR(AD82="",T82="",N82=""),"",ROUND(AD82*T82*N82*(1-N(V82)/100),2))</f>
      </c>
      <c r="AL82" s="26">
        <f>IF(B82="","",IF(NOT(AND(LEFT(B82,3)="OFM",LEN(B82)=13)),"Sample ID must be OFM + 10 digits",IF(AND(C82="SOC",AA82="",AB82=""),"TOC 400 / ROC 600 missing",IF(AND(Z82&lt;&gt;"",AA82&lt;&gt;"",AB82&lt;&gt;"",AC82&lt;&gt;"",ABS(Z82-AA82-AB82-AC82)&gt;0.1),"TC &lt;&gt; TOC400 + ROC600 + TIC900",IF(AND(Z82&lt;&gt;"",AD82&lt;&gt;"",Z82&lt;AD82-0.05),"TC &lt; TOC — impossible",IF(AND(T82&lt;&gt;"",OR(T82&lt;0.6,T82&gt;2.0)),"BD outside 0.6-2.0 — verify",IF(AND(C82="Texture",AJ82="CHECK SUM"),"Sand+Silt+Clay must total 100",IF(AND(AD82&lt;&gt;"",AD82&gt;15),"TOC &gt;15% — organic soil?",IF(AND(C82="SOC",W82="",X82=""),"No dry mass/area — ESM not possible","OK"))))))))</f>
      </c>
    </row>
    <row r="83" spans="1:38" x14ac:dyDescent="0.25">
      <c r="A83" s="15">
        <v>78</v>
      </c>
      <c r="B83" s="15"/>
      <c r="C83" s="15"/>
      <c r="D83" s="15"/>
      <c r="E83" s="15"/>
      <c r="F83" s="15"/>
      <c r="G83" s="15"/>
      <c r="H83" s="15"/>
      <c r="I83" s="15"/>
      <c r="J83" s="15"/>
      <c r="K83" s="16"/>
      <c r="L83" s="17"/>
      <c r="M83" s="17"/>
      <c r="N83" s="18">
        <f>IF(OR(L83="",M83=""),"",M83-L83)</f>
      </c>
      <c r="O83" s="15"/>
      <c r="P83" s="15"/>
      <c r="Q83" s="15"/>
      <c r="R83" s="16"/>
      <c r="S83" s="15"/>
      <c r="T83" s="19"/>
      <c r="U83" s="20"/>
      <c r="V83" s="20"/>
      <c r="W83" s="21"/>
      <c r="X83" s="21"/>
      <c r="Y83" s="22">
        <f>IF(AND(W83&lt;&gt;"",X83&lt;&gt;"",X83&gt;0),ROUND(W83/X83*100,1),IF(OR(T83="",N83=""),"",ROUND(T83*N83*100*(1-N(V83)/100),1)))</f>
      </c>
      <c r="Z83" s="23"/>
      <c r="AA83" s="23"/>
      <c r="AB83" s="23"/>
      <c r="AC83" s="23"/>
      <c r="AD83" s="24">
        <f>IF(AND(AA83="",AB83=""),"",ROUND(N(AA83)+N(AB83),4))</f>
      </c>
      <c r="AE83" s="23"/>
      <c r="AF83" s="25">
        <f>IF(OR(AD83="",AE83="",AE83=0),"",ROUND(AD83/AE83,2))</f>
      </c>
      <c r="AG83" s="20"/>
      <c r="AH83" s="20"/>
      <c r="AI83" s="20"/>
      <c r="AJ83" s="26">
        <f>IF(OR(AG83="",AH83="",AI83=""),"",IF(ABS(AG83+AH83+AI83-100)&gt;1,"CHECK SUM",IF(AND(AH83+1.5*AI83&lt;15),"Sand",IF(AND(AH83+1.5*AI83&gt;=15,AH83+2*AI83&lt;30),"Loamy sand",IF(OR(AND(AI83&gt;=7,AI83&lt;20,AG83&gt;52,AH83+2*AI83&gt;=30),AND(AI83&lt;7,AH83&lt;50,AG83&gt;43,AH83+2*AI83&gt;=30)),"Sandy loam",IF(AND(AI83&gt;=7,AI83&lt;27,AH83&gt;=28,AH83&lt;50,AG83&lt;=52),"Loam",IF(OR(AND(AH83&gt;=50,AI83&gt;=12,AI83&lt;27),AND(AH83&gt;=50,AH83&lt;80,AI83&lt;12)),"Silt loam",IF(AND(AH83&gt;=80,AI83&lt;12),"Silt",IF(AND(AI83&gt;=20,AI83&lt;35,AH83&lt;28,AG83&gt;45),"Sandy clay loam",IF(AND(AI83&gt;=27,AI83&lt;40,AG83&gt;20,AG83&lt;=45),"Clay loam",IF(AND(AI83&gt;=27,AI83&lt;40,AG83&lt;=20),"Silty clay loam",IF(AND(AI83&gt;=35,AG83&gt;45),"Sandy clay",IF(AND(AI83&gt;=40,AH83&gt;=40),"Silty clay",IF(AND(AI83&gt;=40,AG83&lt;=45,AH83&lt;40),"Clay",""))))))))))))))</f>
      </c>
      <c r="AK83" s="25">
        <f>IF(OR(AD83="",T83="",N83=""),"",ROUND(AD83*T83*N83*(1-N(V83)/100),2))</f>
      </c>
      <c r="AL83" s="26">
        <f>IF(B83="","",IF(NOT(AND(LEFT(B83,3)="OFM",LEN(B83)=13)),"Sample ID must be OFM + 10 digits",IF(AND(C83="SOC",AA83="",AB83=""),"TOC 400 / ROC 600 missing",IF(AND(Z83&lt;&gt;"",AA83&lt;&gt;"",AB83&lt;&gt;"",AC83&lt;&gt;"",ABS(Z83-AA83-AB83-AC83)&gt;0.1),"TC &lt;&gt; TOC400 + ROC600 + TIC900",IF(AND(Z83&lt;&gt;"",AD83&lt;&gt;"",Z83&lt;AD83-0.05),"TC &lt; TOC — impossible",IF(AND(T83&lt;&gt;"",OR(T83&lt;0.6,T83&gt;2.0)),"BD outside 0.6-2.0 — verify",IF(AND(C83="Texture",AJ83="CHECK SUM"),"Sand+Silt+Clay must total 100",IF(AND(AD83&lt;&gt;"",AD83&gt;15),"TOC &gt;15% — organic soil?",IF(AND(C83="SOC",W83="",X83=""),"No dry mass/area — ESM not possible","OK"))))))))</f>
      </c>
    </row>
    <row r="84" spans="1:38" x14ac:dyDescent="0.25">
      <c r="A84" s="15">
        <v>79</v>
      </c>
      <c r="B84" s="15"/>
      <c r="C84" s="15"/>
      <c r="D84" s="15"/>
      <c r="E84" s="15"/>
      <c r="F84" s="15"/>
      <c r="G84" s="15"/>
      <c r="H84" s="15"/>
      <c r="I84" s="15"/>
      <c r="J84" s="15"/>
      <c r="K84" s="16"/>
      <c r="L84" s="17"/>
      <c r="M84" s="17"/>
      <c r="N84" s="18">
        <f>IF(OR(L84="",M84=""),"",M84-L84)</f>
      </c>
      <c r="O84" s="15"/>
      <c r="P84" s="15"/>
      <c r="Q84" s="15"/>
      <c r="R84" s="16"/>
      <c r="S84" s="15"/>
      <c r="T84" s="19"/>
      <c r="U84" s="20"/>
      <c r="V84" s="20"/>
      <c r="W84" s="21"/>
      <c r="X84" s="21"/>
      <c r="Y84" s="22">
        <f>IF(AND(W84&lt;&gt;"",X84&lt;&gt;"",X84&gt;0),ROUND(W84/X84*100,1),IF(OR(T84="",N84=""),"",ROUND(T84*N84*100*(1-N(V84)/100),1)))</f>
      </c>
      <c r="Z84" s="23"/>
      <c r="AA84" s="23"/>
      <c r="AB84" s="23"/>
      <c r="AC84" s="23"/>
      <c r="AD84" s="24">
        <f>IF(AND(AA84="",AB84=""),"",ROUND(N(AA84)+N(AB84),4))</f>
      </c>
      <c r="AE84" s="23"/>
      <c r="AF84" s="25">
        <f>IF(OR(AD84="",AE84="",AE84=0),"",ROUND(AD84/AE84,2))</f>
      </c>
      <c r="AG84" s="20"/>
      <c r="AH84" s="20"/>
      <c r="AI84" s="20"/>
      <c r="AJ84" s="26">
        <f>IF(OR(AG84="",AH84="",AI84=""),"",IF(ABS(AG84+AH84+AI84-100)&gt;1,"CHECK SUM",IF(AND(AH84+1.5*AI84&lt;15),"Sand",IF(AND(AH84+1.5*AI84&gt;=15,AH84+2*AI84&lt;30),"Loamy sand",IF(OR(AND(AI84&gt;=7,AI84&lt;20,AG84&gt;52,AH84+2*AI84&gt;=30),AND(AI84&lt;7,AH84&lt;50,AG84&gt;43,AH84+2*AI84&gt;=30)),"Sandy loam",IF(AND(AI84&gt;=7,AI84&lt;27,AH84&gt;=28,AH84&lt;50,AG84&lt;=52),"Loam",IF(OR(AND(AH84&gt;=50,AI84&gt;=12,AI84&lt;27),AND(AH84&gt;=50,AH84&lt;80,AI84&lt;12)),"Silt loam",IF(AND(AH84&gt;=80,AI84&lt;12),"Silt",IF(AND(AI84&gt;=20,AI84&lt;35,AH84&lt;28,AG84&gt;45),"Sandy clay loam",IF(AND(AI84&gt;=27,AI84&lt;40,AG84&gt;20,AG84&lt;=45),"Clay loam",IF(AND(AI84&gt;=27,AI84&lt;40,AG84&lt;=20),"Silty clay loam",IF(AND(AI84&gt;=35,AG84&gt;45),"Sandy clay",IF(AND(AI84&gt;=40,AH84&gt;=40),"Silty clay",IF(AND(AI84&gt;=40,AG84&lt;=45,AH84&lt;40),"Clay",""))))))))))))))</f>
      </c>
      <c r="AK84" s="25">
        <f>IF(OR(AD84="",T84="",N84=""),"",ROUND(AD84*T84*N84*(1-N(V84)/100),2))</f>
      </c>
      <c r="AL84" s="26">
        <f>IF(B84="","",IF(NOT(AND(LEFT(B84,3)="OFM",LEN(B84)=13)),"Sample ID must be OFM + 10 digits",IF(AND(C84="SOC",AA84="",AB84=""),"TOC 400 / ROC 600 missing",IF(AND(Z84&lt;&gt;"",AA84&lt;&gt;"",AB84&lt;&gt;"",AC84&lt;&gt;"",ABS(Z84-AA84-AB84-AC84)&gt;0.1),"TC &lt;&gt; TOC400 + ROC600 + TIC900",IF(AND(Z84&lt;&gt;"",AD84&lt;&gt;"",Z84&lt;AD84-0.05),"TC &lt; TOC — impossible",IF(AND(T84&lt;&gt;"",OR(T84&lt;0.6,T84&gt;2.0)),"BD outside 0.6-2.0 — verify",IF(AND(C84="Texture",AJ84="CHECK SUM"),"Sand+Silt+Clay must total 100",IF(AND(AD84&lt;&gt;"",AD84&gt;15),"TOC &gt;15% — organic soil?",IF(AND(C84="SOC",W84="",X84=""),"No dry mass/area — ESM not possible","OK"))))))))</f>
      </c>
    </row>
    <row r="85" spans="1:38" x14ac:dyDescent="0.25">
      <c r="A85" s="15">
        <v>80</v>
      </c>
      <c r="B85" s="15"/>
      <c r="C85" s="15"/>
      <c r="D85" s="15"/>
      <c r="E85" s="15"/>
      <c r="F85" s="15"/>
      <c r="G85" s="15"/>
      <c r="H85" s="15"/>
      <c r="I85" s="15"/>
      <c r="J85" s="15"/>
      <c r="K85" s="16"/>
      <c r="L85" s="17"/>
      <c r="M85" s="17"/>
      <c r="N85" s="18">
        <f>IF(OR(L85="",M85=""),"",M85-L85)</f>
      </c>
      <c r="O85" s="15"/>
      <c r="P85" s="15"/>
      <c r="Q85" s="15"/>
      <c r="R85" s="16"/>
      <c r="S85" s="15"/>
      <c r="T85" s="19"/>
      <c r="U85" s="20"/>
      <c r="V85" s="20"/>
      <c r="W85" s="21"/>
      <c r="X85" s="21"/>
      <c r="Y85" s="22">
        <f>IF(AND(W85&lt;&gt;"",X85&lt;&gt;"",X85&gt;0),ROUND(W85/X85*100,1),IF(OR(T85="",N85=""),"",ROUND(T85*N85*100*(1-N(V85)/100),1)))</f>
      </c>
      <c r="Z85" s="23"/>
      <c r="AA85" s="23"/>
      <c r="AB85" s="23"/>
      <c r="AC85" s="23"/>
      <c r="AD85" s="24">
        <f>IF(AND(AA85="",AB85=""),"",ROUND(N(AA85)+N(AB85),4))</f>
      </c>
      <c r="AE85" s="23"/>
      <c r="AF85" s="25">
        <f>IF(OR(AD85="",AE85="",AE85=0),"",ROUND(AD85/AE85,2))</f>
      </c>
      <c r="AG85" s="20"/>
      <c r="AH85" s="20"/>
      <c r="AI85" s="20"/>
      <c r="AJ85" s="26">
        <f>IF(OR(AG85="",AH85="",AI85=""),"",IF(ABS(AG85+AH85+AI85-100)&gt;1,"CHECK SUM",IF(AND(AH85+1.5*AI85&lt;15),"Sand",IF(AND(AH85+1.5*AI85&gt;=15,AH85+2*AI85&lt;30),"Loamy sand",IF(OR(AND(AI85&gt;=7,AI85&lt;20,AG85&gt;52,AH85+2*AI85&gt;=30),AND(AI85&lt;7,AH85&lt;50,AG85&gt;43,AH85+2*AI85&gt;=30)),"Sandy loam",IF(AND(AI85&gt;=7,AI85&lt;27,AH85&gt;=28,AH85&lt;50,AG85&lt;=52),"Loam",IF(OR(AND(AH85&gt;=50,AI85&gt;=12,AI85&lt;27),AND(AH85&gt;=50,AH85&lt;80,AI85&lt;12)),"Silt loam",IF(AND(AH85&gt;=80,AI85&lt;12),"Silt",IF(AND(AI85&gt;=20,AI85&lt;35,AH85&lt;28,AG85&gt;45),"Sandy clay loam",IF(AND(AI85&gt;=27,AI85&lt;40,AG85&gt;20,AG85&lt;=45),"Clay loam",IF(AND(AI85&gt;=27,AI85&lt;40,AG85&lt;=20),"Silty clay loam",IF(AND(AI85&gt;=35,AG85&gt;45),"Sandy clay",IF(AND(AI85&gt;=40,AH85&gt;=40),"Silty clay",IF(AND(AI85&gt;=40,AG85&lt;=45,AH85&lt;40),"Clay",""))))))))))))))</f>
      </c>
      <c r="AK85" s="25">
        <f>IF(OR(AD85="",T85="",N85=""),"",ROUND(AD85*T85*N85*(1-N(V85)/100),2))</f>
      </c>
      <c r="AL85" s="26">
        <f>IF(B85="","",IF(NOT(AND(LEFT(B85,3)="OFM",LEN(B85)=13)),"Sample ID must be OFM + 10 digits",IF(AND(C85="SOC",AA85="",AB85=""),"TOC 400 / ROC 600 missing",IF(AND(Z85&lt;&gt;"",AA85&lt;&gt;"",AB85&lt;&gt;"",AC85&lt;&gt;"",ABS(Z85-AA85-AB85-AC85)&gt;0.1),"TC &lt;&gt; TOC400 + ROC600 + TIC900",IF(AND(Z85&lt;&gt;"",AD85&lt;&gt;"",Z85&lt;AD85-0.05),"TC &lt; TOC — impossible",IF(AND(T85&lt;&gt;"",OR(T85&lt;0.6,T85&gt;2.0)),"BD outside 0.6-2.0 — verify",IF(AND(C85="Texture",AJ85="CHECK SUM"),"Sand+Silt+Clay must total 100",IF(AND(AD85&lt;&gt;"",AD85&gt;15),"TOC &gt;15% — organic soil?",IF(AND(C85="SOC",W85="",X85=""),"No dry mass/area — ESM not possible","OK"))))))))</f>
      </c>
    </row>
  </sheetData>
  <autoFilter ref="A5:AL85"/>
  <mergeCells count="8">
    <mergeCell ref="A1:AL1"/>
    <mergeCell ref="A2:AL2"/>
    <mergeCell ref="A4:N4"/>
    <mergeCell ref="O4:S4"/>
    <mergeCell ref="T4:Y4"/>
    <mergeCell ref="Z4:AF4"/>
    <mergeCell ref="AG4:AJ4"/>
    <mergeCell ref="AK4:AL4"/>
  </mergeCells>
  <conditionalFormatting sqref="AL6:AL85">
    <cfRule type="cellIs" dxfId="0" priority="1" operator="equal">
      <formula>"OK"</formula>
    </cfRule>
    <cfRule type="cellIs" dxfId="1" priority="2" operator="notEqual">
      <formula>""</formula>
    </cfRule>
  </conditionalFormatting>
  <dataValidations count="10">
    <dataValidation type="textLength" operator="equal" allowBlank="1" showErrorMessage="1" errorStyle="warning" errorTitle="Sample ID format" error="Sample IDs are OFM followed by 10 digits, e.g. OFM0000021615 (13 characters)." sqref="B10:B85">
      <formula1>13</formula1>
    </dataValidation>
    <dataValidation type="textLength" operator="equal" allowBlank="1" showErrorMessage="1" errorStyle="warning" errorTitle="Sample ID format" error="Sample IDs are OFM followed by 10 digits, e.g. OFM0000021615 (13 characters)." sqref="B6:B85">
      <formula1>13</formula1>
    </dataValidation>
    <dataValidation type="list" allowBlank="1" sqref="C10:C85">
      <formula1>"SOC,Texture,Bulk density"</formula1>
    </dataValidation>
    <dataValidation type="list" allowBlank="1" sqref="C6:C85">
      <formula1>"SOC,Texture,Bulk density"</formula1>
    </dataValidation>
    <dataValidation type="list" allowBlank="1" sqref="J10:J85">
      <formula1>"BSL,PR,WP"</formula1>
    </dataValidation>
    <dataValidation type="list" allowBlank="1" sqref="J6:J85">
      <formula1>"BSL,PR,WP"</formula1>
    </dataValidation>
    <dataValidation type="list" allowBlank="1" sqref="P10:P85">
      <formula1>"Dry combustion (Dumas),MIR spectroscopy,Vis-NIR spectroscopy,LIBS,INS,Loss on ignition,Walkley-Black"</formula1>
    </dataValidation>
    <dataValidation type="list" allowBlank="1" sqref="P6:P85">
      <formula1>"Dry combustion (Dumas),MIR spectroscopy,Vis-NIR spectroscopy,LIBS,INS,Loss on ignition,Walkley-Black"</formula1>
    </dataValidation>
    <dataValidation type="list" allowBlank="1" sqref="Q10:Q85">
      <formula1>"Yes,No"</formula1>
    </dataValidation>
    <dataValidation type="list" allowBlank="1" sqref="Q6:Q85">
      <formula1>"Yes,No"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5"/>
  <sheetFormatPr defaultRowHeight="15" outlineLevelRow="0" outlineLevelCol="0" x14ac:dyDescent="55"/>
  <cols>
    <col min="1" max="1" width="3" customWidth="1"/>
    <col min="2" max="2" width="30" customWidth="1"/>
    <col min="3" max="3" width="96" customWidth="1"/>
  </cols>
  <sheetData>
    <row r="1" ht="26" customHeight="1" spans="2:3" x14ac:dyDescent="0.25">
      <c r="B1" s="27" t="s">
        <v>46</v>
      </c>
      <c r="C1" s="27"/>
    </row>
    <row r="3" ht="22" customHeight="1" spans="2:3" x14ac:dyDescent="0.25">
      <c r="B3" s="28" t="s">
        <v>47</v>
      </c>
      <c r="C3" s="28"/>
    </row>
    <row r="4" ht="42" customHeight="1" spans="2:3" x14ac:dyDescent="0.25">
      <c r="B4" s="29" t="s">
        <v>48</v>
      </c>
      <c r="C4" s="30" t="s">
        <v>49</v>
      </c>
    </row>
    <row r="5" ht="56" customHeight="1" spans="2:3" x14ac:dyDescent="0.25">
      <c r="B5" s="29" t="s">
        <v>50</v>
      </c>
      <c r="C5" s="30" t="s">
        <v>51</v>
      </c>
    </row>
    <row r="6" ht="56" customHeight="1" spans="2:3" x14ac:dyDescent="0.25">
      <c r="B6" s="29" t="s">
        <v>52</v>
      </c>
      <c r="C6" s="30" t="s">
        <v>53</v>
      </c>
    </row>
    <row r="7" ht="28" customHeight="1" spans="2:3" x14ac:dyDescent="0.25">
      <c r="B7" s="29" t="s">
        <v>54</v>
      </c>
      <c r="C7" s="30" t="s">
        <v>55</v>
      </c>
    </row>
    <row r="8" ht="56" customHeight="1" spans="2:3" x14ac:dyDescent="0.25">
      <c r="B8" s="29" t="s">
        <v>56</v>
      </c>
      <c r="C8" s="30" t="s">
        <v>57</v>
      </c>
    </row>
    <row r="9" ht="70" customHeight="1" spans="2:3" x14ac:dyDescent="0.25">
      <c r="B9" s="29" t="s">
        <v>58</v>
      </c>
      <c r="C9" s="30" t="s">
        <v>59</v>
      </c>
    </row>
    <row r="10" ht="42" customHeight="1" spans="2:3" x14ac:dyDescent="0.25">
      <c r="B10" s="29" t="s">
        <v>60</v>
      </c>
      <c r="C10" s="30" t="s">
        <v>61</v>
      </c>
    </row>
    <row r="12" ht="22" customHeight="1" spans="2:3" x14ac:dyDescent="0.25">
      <c r="B12" s="28" t="s">
        <v>62</v>
      </c>
      <c r="C12" s="28"/>
    </row>
    <row r="13" ht="15" customHeight="1" spans="2:3" x14ac:dyDescent="0.25">
      <c r="B13" s="29" t="s">
        <v>63</v>
      </c>
      <c r="C13" s="30" t="s">
        <v>64</v>
      </c>
    </row>
    <row r="14" ht="28" customHeight="1" spans="2:3" x14ac:dyDescent="0.25">
      <c r="B14" s="29" t="s">
        <v>65</v>
      </c>
      <c r="C14" s="30" t="s">
        <v>66</v>
      </c>
    </row>
    <row r="15" ht="42" customHeight="1" spans="2:3" x14ac:dyDescent="0.25">
      <c r="B15" s="29" t="s">
        <v>45</v>
      </c>
      <c r="C15" s="30" t="s">
        <v>67</v>
      </c>
    </row>
    <row r="17" ht="22" customHeight="1" spans="2:3" x14ac:dyDescent="0.25">
      <c r="B17" s="28" t="s">
        <v>68</v>
      </c>
      <c r="C17" s="28"/>
    </row>
    <row r="18" ht="70" customHeight="1" spans="2:3" x14ac:dyDescent="0.25">
      <c r="B18" s="29" t="s">
        <v>69</v>
      </c>
      <c r="C18" s="30" t="s">
        <v>70</v>
      </c>
    </row>
    <row r="19" ht="42" customHeight="1" spans="2:3" x14ac:dyDescent="0.25">
      <c r="B19" s="29" t="s">
        <v>71</v>
      </c>
      <c r="C19" s="30" t="s">
        <v>72</v>
      </c>
    </row>
    <row r="20" ht="28" customHeight="1" spans="2:3" x14ac:dyDescent="0.25">
      <c r="B20" s="29" t="s">
        <v>73</v>
      </c>
      <c r="C20" s="30" t="s">
        <v>74</v>
      </c>
    </row>
    <row r="21" ht="15" customHeight="1" spans="2:3" x14ac:dyDescent="0.25">
      <c r="B21" s="29" t="s">
        <v>75</v>
      </c>
      <c r="C21" s="30" t="s">
        <v>76</v>
      </c>
    </row>
    <row r="22" ht="15" customHeight="1" spans="2:3" x14ac:dyDescent="0.25">
      <c r="B22" s="29" t="s">
        <v>77</v>
      </c>
      <c r="C22" s="30" t="s">
        <v>78</v>
      </c>
    </row>
    <row r="23" ht="15" customHeight="1" spans="2:3" x14ac:dyDescent="0.25">
      <c r="B23" s="29" t="s">
        <v>79</v>
      </c>
      <c r="C23" s="30" t="s">
        <v>80</v>
      </c>
    </row>
    <row r="24" ht="42" customHeight="1" spans="2:3" x14ac:dyDescent="0.25">
      <c r="B24" s="29" t="s">
        <v>81</v>
      </c>
      <c r="C24" s="30" t="s">
        <v>82</v>
      </c>
    </row>
    <row r="25" ht="56" customHeight="1" spans="2:3" x14ac:dyDescent="0.25">
      <c r="B25" s="29" t="s">
        <v>83</v>
      </c>
      <c r="C25" s="30" t="s">
        <v>84</v>
      </c>
    </row>
    <row r="26" ht="28" customHeight="1" spans="2:3" x14ac:dyDescent="0.25">
      <c r="B26" s="29" t="s">
        <v>85</v>
      </c>
      <c r="C26" s="30" t="s">
        <v>86</v>
      </c>
    </row>
    <row r="28" ht="22" customHeight="1" spans="2:3" x14ac:dyDescent="0.25">
      <c r="B28" s="28" t="s">
        <v>87</v>
      </c>
      <c r="C28" s="28"/>
    </row>
    <row r="29" ht="28" customHeight="1" spans="2:3" x14ac:dyDescent="0.25">
      <c r="B29" s="29" t="s">
        <v>88</v>
      </c>
      <c r="C29" s="30" t="s">
        <v>89</v>
      </c>
    </row>
    <row r="30" ht="28" customHeight="1" spans="2:3" x14ac:dyDescent="0.25">
      <c r="B30" s="29" t="s">
        <v>90</v>
      </c>
      <c r="C30" s="30" t="s">
        <v>91</v>
      </c>
    </row>
    <row r="32" ht="22" customHeight="1" spans="2:3" x14ac:dyDescent="0.25">
      <c r="B32" s="28" t="s">
        <v>92</v>
      </c>
      <c r="C32" s="28"/>
    </row>
    <row r="33" ht="15" customHeight="1" spans="2:3" x14ac:dyDescent="0.25">
      <c r="B33" s="29" t="s">
        <v>93</v>
      </c>
      <c r="C33" s="30" t="s">
        <v>94</v>
      </c>
    </row>
    <row r="34" ht="15" customHeight="1" spans="2:3" x14ac:dyDescent="0.25">
      <c r="B34" s="29" t="s">
        <v>95</v>
      </c>
      <c r="C34" s="30" t="s">
        <v>96</v>
      </c>
    </row>
    <row r="35" ht="42" customHeight="1" spans="2:3" x14ac:dyDescent="0.25">
      <c r="B35" s="29" t="s">
        <v>97</v>
      </c>
      <c r="C35" s="30" t="s">
        <v>98</v>
      </c>
    </row>
  </sheetData>
  <mergeCells count="6">
    <mergeCell ref="B1:C1"/>
    <mergeCell ref="B3:C3"/>
    <mergeCell ref="B12:C12"/>
    <mergeCell ref="B17:C17"/>
    <mergeCell ref="B28:C28"/>
    <mergeCell ref="B32:C3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7"/>
  <sheetFormatPr defaultRowHeight="15" outlineLevelRow="0" outlineLevelCol="0" x14ac:dyDescent="55"/>
  <cols>
    <col min="1" max="1" width="3" customWidth="1"/>
    <col min="2" max="2" width="34" customWidth="1"/>
    <col min="3" max="3" width="16" customWidth="1"/>
    <col min="4" max="4" width="52" customWidth="1"/>
  </cols>
  <sheetData>
    <row r="1" ht="26" customHeight="1" spans="2:4" x14ac:dyDescent="0.25">
      <c r="B1" s="27" t="s">
        <v>99</v>
      </c>
      <c r="C1" s="27"/>
      <c r="D1" s="27"/>
    </row>
    <row r="3" spans="2:4" x14ac:dyDescent="0.25">
      <c r="B3" s="31" t="s">
        <v>100</v>
      </c>
      <c r="C3" s="32">
        <f>COUNTA('Lab Results'!B6:B85)</f>
      </c>
      <c r="D3" s="33" t="s">
        <v>101</v>
      </c>
    </row>
    <row r="4" spans="2:4" x14ac:dyDescent="0.25">
      <c r="B4" s="34" t="s">
        <v>102</v>
      </c>
      <c r="C4" s="32">
        <f>COUNTIF('Lab Results'!C6:C85,"SOC")</f>
      </c>
      <c r="D4" s="33" t="s">
        <v>103</v>
      </c>
    </row>
    <row r="5" spans="2:4" x14ac:dyDescent="0.25">
      <c r="B5" s="34" t="s">
        <v>104</v>
      </c>
      <c r="C5" s="32">
        <f>COUNTIF('Lab Results'!C6:C85,"Texture")</f>
      </c>
      <c r="D5" s="33" t="s">
        <v>105</v>
      </c>
    </row>
    <row r="6" spans="2:4" x14ac:dyDescent="0.25">
      <c r="B6" s="31" t="s">
        <v>106</v>
      </c>
      <c r="C6" s="32">
        <f>COUNTIFS('Lab Results'!AL6:AL85,"&lt;&gt;OK",'Lab Results'!AL6:AL85,"&lt;&gt;")</f>
      </c>
      <c r="D6" s="33" t="s">
        <v>107</v>
      </c>
    </row>
    <row r="8" spans="2:4" x14ac:dyDescent="0.25">
      <c r="B8" s="31" t="s">
        <v>108</v>
      </c>
      <c r="C8" s="32">
        <f>IFERROR(ROUND(AVERAGE('Lab Results'!AD6:AD85),3),"")</f>
      </c>
      <c r="D8" s="33" t="s">
        <v>103</v>
      </c>
    </row>
    <row r="9" spans="2:4" x14ac:dyDescent="0.25">
      <c r="B9" s="31" t="s">
        <v>109</v>
      </c>
      <c r="C9" s="32">
        <f>IFERROR(ROUND(AVERAGE('Lab Results'!T6:T85),3),"")</f>
      </c>
      <c r="D9" s="33" t="s">
        <v>103</v>
      </c>
    </row>
    <row r="10" spans="2:4" x14ac:dyDescent="0.25">
      <c r="B10" s="31" t="s">
        <v>110</v>
      </c>
      <c r="C10" s="32">
        <f>IFERROR(ROUND(AVERAGE('Lab Results'!AK6:AK85),2),"")</f>
      </c>
      <c r="D10" s="33" t="s">
        <v>103</v>
      </c>
    </row>
    <row r="11" spans="2:4" x14ac:dyDescent="0.25">
      <c r="B11" s="31" t="s">
        <v>111</v>
      </c>
      <c r="C11" s="32">
        <f>IFERROR(ROUND(STDEV('Lab Results'!AK6:AK85),2),"")</f>
      </c>
      <c r="D11" s="33" t="s">
        <v>103</v>
      </c>
    </row>
    <row r="12" spans="2:4" x14ac:dyDescent="0.25">
      <c r="B12" s="31" t="s">
        <v>112</v>
      </c>
      <c r="C12" s="32">
        <f>IFERROR(ROUND(STDEV('Lab Results'!AK6:AK85)/AVERAGE('Lab Results'!AK6:AK85)*100,1),"")</f>
      </c>
      <c r="D12" s="33" t="s">
        <v>113</v>
      </c>
    </row>
    <row r="14" spans="2:4" x14ac:dyDescent="0.25">
      <c r="B14" s="31" t="s">
        <v>114</v>
      </c>
      <c r="C14" s="32">
        <f>IFERROR(ROUND(AVERAGEIF('Lab Results'!J6:J85,"PR",'Lab Results'!AK6:AK85),2),"")</f>
      </c>
      <c r="D14" s="33" t="s">
        <v>103</v>
      </c>
    </row>
    <row r="15" spans="2:4" x14ac:dyDescent="0.25">
      <c r="B15" s="31" t="s">
        <v>115</v>
      </c>
      <c r="C15" s="32">
        <f>IFERROR(ROUND(AVERAGEIF('Lab Results'!J6:J85,"BSL",'Lab Results'!AK6:AK85),2),"")</f>
      </c>
      <c r="D15" s="33" t="s">
        <v>103</v>
      </c>
    </row>
    <row r="17" spans="2:2" x14ac:dyDescent="0.25">
      <c r="B17" s="35" t="s">
        <v>116</v>
      </c>
    </row>
  </sheetData>
  <mergeCells count="1">
    <mergeCell ref="B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 Results</vt:lpstr>
      <vt:lpstr>Instructions</vt:lpstr>
      <vt:lpstr>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CarboNature</dc:creator>
  <dc:title/>
  <dc:subject/>
  <dc:description/>
  <cp:keywords/>
  <cp:category/>
  <cp:lastModifiedBy>Unknown</cp:lastModifiedBy>
  <dcterms:created xsi:type="dcterms:W3CDTF">2026-07-21T21:00:00Z</dcterms:created>
  <dcterms:modified xsi:type="dcterms:W3CDTF">2026-07-22T18:34:07Z</dcterms:modified>
</cp:coreProperties>
</file>